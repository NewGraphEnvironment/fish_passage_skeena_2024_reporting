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template_reporting/data/"/>
    </mc:Choice>
  </mc:AlternateContent>
  <xr:revisionPtr revIDLastSave="0" documentId="13_ncr:1_{3C63CF03-0392-D94F-A9E9-B8CDD3B1D560}" xr6:coauthVersionLast="47" xr6:coauthVersionMax="47" xr10:uidLastSave="{00000000-0000-0000-0000-000000000000}"/>
  <bookViews>
    <workbookView xWindow="37340" yWindow="-88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<sst xmlns="http://schemas.openxmlformats.org/spreadsheetml/2006/main" count="132" uniqueCount="114">
  <si>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</si>
  <si>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</si>
  <si>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</si>
  <si>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</si>
  <si>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</si>
  <si>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</si>
  <si>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</si>
  <si>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</si>
  <si>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</si>
  <si>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</si>
  <si>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</si>
  <si>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</si>
  <si>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</si>
  <si>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</si>
  <si>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</si>
  <si>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</si>
  <si>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</si>
  <si>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</si>
  <si>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</si>
  <si>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</si>
  <si>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</si>
  <si>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</si>
  <si>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</si>
  <si>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</si>
  <si>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</si>
  <si>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</si>
  <si>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</si>
  <si>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</si>
  <si>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</si>
  <si>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</si>
  <si>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</si>
  <si>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</si>
  <si>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</si>
  <si>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</si>
  <si>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</si>
  <si>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</si>
  <si>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</si>
  <si>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</si>
  <si>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</si>
  <si>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</si>
  <si>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</si>
  <si>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</si>
  <si>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</si>
  <si>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</si>
  <si>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</si>
  <si>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</si>
  <si>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</si>
  <si>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</si>
  <si>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</si>
  <si>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</si>
  <si>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</si>
  <si>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</si>
  <si>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</si>
  <si>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</si>
  <si>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</si>
  <si>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</si>
  <si>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</si>
  <si>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</si>
  <si>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</si>
  <si>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</si>
  <si>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</si>
  <si>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</si>
  <si>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</si>
  <si>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</si>
  <si>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</si>
  <si>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</si>
  <si>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</si>
  <si>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</si>
  <si>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</si>
  <si>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</si>
  <si>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</si>
  <si>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</si>
  <si>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</si>
  <si>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</si>
  <si>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</si>
  <si>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</si>
  <si>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</si>
  <si>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</si>
  <si>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</si>
  <si>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</si>
  <si>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</si>
  <si>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</si>
  <si>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</si>
  <si>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</si>
  <si>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</si>
  <si>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</si>
  <si>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</si>
  <si>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</si>
  <si>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</si>
  <si>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</si>
  <si>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</si>
  <si>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</si>
  <si>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</si>
  <si>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 xml:space="preserve">Tributary to Kerry lake </t>
  </si>
  <si>
    <t>Kerry Lake FSR</t>
  </si>
  <si>
    <t>Closed Bottom Structure</t>
  </si>
  <si>
    <t>Round Culvert</t>
  </si>
  <si>
    <t>No</t>
  </si>
  <si>
    <t>Yes</t>
  </si>
  <si>
    <t>Deep Fill</t>
  </si>
  <si>
    <t>Medium</t>
  </si>
  <si>
    <t xml:space="preserve">Tributary to McLeod lake </t>
  </si>
  <si>
    <t xml:space="preserve">Hart highway </t>
  </si>
  <si>
    <t>Several fish (RB) 40-120mm were observed in outlet pool. Rainbow trout were captured during phase 2 assessment sampling. Fish were also observed in pools upstream. Beaver activity near inlet. Big outlet drop. Gravels upstream are suitable for spawning resident fish. Good riparian vegetation and good habitat.. 11:12:52</t>
  </si>
  <si>
    <t>Culvert is completely broken in half at the outlet. Fish observed downstream and RB noted upstream in FISS. Good habitat observed downstream during habitat confirmation. Tons of road fill. Inlet blocked with a log and debris creating an inlet drop. Signs of major erosion around pipe inlet suggesting pipe is undersized for the stream. MoTi chris_culvert_id: 1996861. 17:51:46</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</si>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</sst>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4">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107</v>
      </c>
    </row>
    <row r="5" spans="1:20">
      <c r="A5" s="4" t="s">
        <v>58</v>
      </c>
      <c r="B5" t="s">
        <v>108</v>
      </c>
    </row>
    <row r="6" spans="1:20">
      <c r="A6" s="4"/>
      <c r="B6" s="10"/>
    </row>
    <row r="7" spans="1:20">
      <c r="A7" s="4" t="s">
        <v>86</v>
      </c>
      <c r="B7" s="83" t="s">
        <v>109</v>
      </c>
    </row>
    <row r="8" spans="1:20">
      <c r="A8" s="4" t="s">
        <v>73</v>
      </c>
      <c r="B8" t="s">
        <v>110</v>
      </c>
    </row>
    <row r="9" spans="1:20">
      <c r="A9" s="4" t="s">
        <v>74</v>
      </c>
      <c r="B9" t="s">
        <v>111</v>
      </c>
    </row>
    <row r="10" spans="1:20">
      <c r="A10" s="4" t="s">
        <v>75</v>
      </c>
      <c r="B10" s="84" t="s">
        <v>112</v>
      </c>
    </row>
    <row r="11" spans="1:20">
      <c r="A11" s="4"/>
      <c r="B11" s="10"/>
    </row>
    <row r="12" spans="1:20">
      <c r="A12" s="4" t="s">
        <v>36</v>
      </c>
      <c r="B12" s="83" t="s">
        <v>113</v>
      </c>
    </row>
    <row r="13" spans="1:20">
      <c r="A13" s="4" t="s">
        <v>37</v>
      </c>
      <c r="B13" t="s">
        <v>110</v>
      </c>
    </row>
    <row r="14" spans="1:20">
      <c r="A14" s="4" t="s">
        <v>38</v>
      </c>
      <c r="B14" t="s">
        <v>111</v>
      </c>
    </row>
    <row r="15" spans="1:20">
      <c r="A15" s="4" t="s">
        <v>39</v>
      </c>
      <c r="B15" s="84" t="s">
        <v>112</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9" priority="6" stopIfTrue="1">
      <formula>LEN(TRIM(B17))=0</formula>
    </cfRule>
  </conditionalFormatting>
  <conditionalFormatting sqref="B4:B5">
    <cfRule type="containsBlanks" dxfId="4" priority="5" stopIfTrue="1">
      <formula>LEN(TRIM(B4))=0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G1" zoomScale="85" zoomScaleNormal="85" workbookViewId="0">
      <pane ySplit="4" topLeftCell="A5" activePane="bottomLeft" state="frozen"/>
      <selection pane="bottomLeft" activeCell="AN11" sqref="AN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93</v>
      </c>
      <c r="I5" s="11" t="s">
        <v>94</v>
      </c>
      <c r="J5" s="33">
        <v>7</v>
      </c>
      <c r="L5" s="10" t="s">
        <v>95</v>
      </c>
      <c r="M5" s="10" t="s">
        <v>96</v>
      </c>
      <c r="N5" s="85">
        <v>1.2</v>
      </c>
      <c r="O5" s="85">
        <v>19</v>
      </c>
      <c r="P5" s="10" t="s">
        <v>97</v>
      </c>
      <c r="Q5" s="86"/>
      <c r="S5" s="10" t="s">
        <v>97</v>
      </c>
      <c r="T5" s="86"/>
      <c r="U5" s="10">
        <v>2.5</v>
      </c>
      <c r="V5" s="10">
        <v>0.34</v>
      </c>
      <c r="W5" s="10">
        <v>0.82</v>
      </c>
      <c r="X5" s="10" t="s">
        <v>97</v>
      </c>
      <c r="Y5" s="10">
        <v>4</v>
      </c>
      <c r="Z5" s="10">
        <v>4</v>
      </c>
      <c r="AA5" s="10">
        <v>5</v>
      </c>
      <c r="AB5" s="10" t="s">
        <v>98</v>
      </c>
      <c r="AC5" s="10" t="s">
        <v>98</v>
      </c>
      <c r="AD5" s="10" t="s">
        <v>99</v>
      </c>
      <c r="AE5" s="10" t="s">
        <v>100</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105</v>
      </c>
      <c r="AO5" s="10">
        <v>15</v>
      </c>
      <c r="AP5" s="78" t="s">
        <v>103</v>
      </c>
    </row>
    <row r="6" spans="1:42" ht="16">
      <c r="A6" s="59">
        <v>45540</v>
      </c>
      <c r="B6" s="58">
        <v>198669</v>
      </c>
      <c r="D6" s="10" t="s">
        <v>92</v>
      </c>
      <c r="E6" s="11">
        <v>10</v>
      </c>
      <c r="F6" s="39">
        <v>503347</v>
      </c>
      <c r="G6" s="39">
        <v>6085960</v>
      </c>
      <c r="H6" s="10" t="s">
        <v>101</v>
      </c>
      <c r="I6" s="11" t="s">
        <v>102</v>
      </c>
      <c r="J6" s="33"/>
      <c r="K6" s="10"/>
      <c r="L6" s="10" t="s">
        <v>95</v>
      </c>
      <c r="M6" s="10" t="s">
        <v>96</v>
      </c>
      <c r="N6" s="85">
        <v>0.9</v>
      </c>
      <c r="O6" s="85">
        <v>42</v>
      </c>
      <c r="P6" s="10" t="s">
        <v>97</v>
      </c>
      <c r="Q6" s="86"/>
      <c r="S6" s="10" t="s">
        <v>97</v>
      </c>
      <c r="T6" s="86"/>
      <c r="U6" s="10">
        <v>8</v>
      </c>
      <c r="V6" s="10">
        <v>0.36</v>
      </c>
      <c r="W6" s="10">
        <v>1</v>
      </c>
      <c r="X6" s="10" t="s">
        <v>98</v>
      </c>
      <c r="Y6" s="10">
        <v>2</v>
      </c>
      <c r="Z6" s="10">
        <v>3.5</v>
      </c>
      <c r="AA6" s="10">
        <v>2</v>
      </c>
      <c r="AB6" s="10" t="s">
        <v>97</v>
      </c>
      <c r="AC6" s="10" t="s">
        <v>98</v>
      </c>
      <c r="AD6" s="10" t="s">
        <v>99</v>
      </c>
      <c r="AE6" s="10" t="s">
        <v>100</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10" t="s">
        <v>106</v>
      </c>
      <c r="AO6" s="10">
        <v>4.5</v>
      </c>
      <c r="AP6" s="78" t="s">
        <v>104</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JB5IP/U/B4J0gaCK9kFmKAdqFkomWBx1sm41lOvO9ihO24ayRFyaDKACN6qd2VTj68tbULJZLeyBz1adwctypA==" saltValue="ecR2KNh6Qgs1Ap5E/KSElQ==" spinCount="100000" sheet="1" objects="1" scenarios="1"/>
  <dataConsolidate/>
  <conditionalFormatting sqref="AO12:AO65536">
    <cfRule type="cellIs" priority="213" stopIfTrue="1" operator="lessThan">
      <formula>0</formula>
    </cfRule>
  </conditionalFormatting>
  <conditionalFormatting sqref="AF6:AF4998 AF5284:AF65536">
    <cfRule type="cellIs" dxfId="7" priority="201" stopIfTrue="1" operator="greaterThan">
      <formula>9999999999</formula>
    </cfRule>
  </conditionalFormatting>
  <conditionalFormatting sqref="AF4999:AF5283">
    <cfRule type="cellIs" dxfId="6"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5"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Q6"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2024-12-14T00:04:49Z</dcterms:modified>
</cp:coreProperties>
</file>