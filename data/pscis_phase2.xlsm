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9" codeName="{6A26FB3C-EA34-E94E-B44F-155022A03E17}"/>
  <workbookPr codeName="ThisWorkbook" defaultThemeVersion="124226"/>
  <mc:AlternateContent xmlns:mc="http://schemas.openxmlformats.org/markup-compatibility/2006">
    <mc:Choice Requires="x15">
      <x15ac:absPath xmlns:x15ac="http://schemas.microsoft.com/office/spreadsheetml/2010/11/ac" url="/Users/lucy/Projects/repo/fish_passage_skeena_2024_reporting/data/"/>
    </mc:Choice>
  </mc:AlternateContent>
  <xr:revisionPtr revIDLastSave="0" documentId="13_ncr:1_{B5842366-6D83-314E-A918-71034AB5A577}" xr6:coauthVersionLast="47" xr6:coauthVersionMax="47" xr10:uidLastSave="{00000000-0000-0000-0000-000000000000}"/>
  <bookViews>
    <workbookView xWindow="39520" yWindow="500" windowWidth="31580" windowHeight="188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L5118" i="2" s="1"/>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L48" i="2" s="1"/>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L297" i="2" s="1"/>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L947" i="2"/>
  <c r="AJ947" i="2"/>
  <c r="AF948" i="2"/>
  <c r="AK948" i="2"/>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L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L1327" i="2" s="1"/>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L2004" i="2" s="1"/>
  <c r="AF2005" i="2"/>
  <c r="AK2005" i="2" s="1"/>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L2066" i="2" s="1"/>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L2149" i="2" s="1"/>
  <c r="AG2149" i="2"/>
  <c r="AH2149" i="2"/>
  <c r="AI2149" i="2"/>
  <c r="AJ2149" i="2"/>
  <c r="AF2150" i="2"/>
  <c r="AK2150" i="2" s="1"/>
  <c r="AG2150" i="2"/>
  <c r="AH2150" i="2"/>
  <c r="AI2150" i="2"/>
  <c r="AJ2150" i="2"/>
  <c r="AF2151" i="2"/>
  <c r="AK2151" i="2"/>
  <c r="AG2151" i="2"/>
  <c r="AL2151" i="2" s="1"/>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L2204" i="2" s="1"/>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L2255" i="2" s="1"/>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s="1"/>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L2353" i="2" s="1"/>
  <c r="AF2354" i="2"/>
  <c r="AK2354" i="2"/>
  <c r="AG2354" i="2"/>
  <c r="AH2354" i="2"/>
  <c r="AI2354" i="2"/>
  <c r="AJ2354" i="2"/>
  <c r="AF2355" i="2"/>
  <c r="AK2355" i="2"/>
  <c r="AG2355" i="2"/>
  <c r="AH2355" i="2"/>
  <c r="AI2355" i="2"/>
  <c r="AL2355" i="2" s="1"/>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L2390" i="2" s="1"/>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L2406" i="2" s="1"/>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s="1"/>
  <c r="AG2432" i="2"/>
  <c r="AH2432" i="2"/>
  <c r="AI2432" i="2"/>
  <c r="AJ2432" i="2"/>
  <c r="AL2432" i="2" s="1"/>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L2468" i="2" s="1"/>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s="1"/>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L2630" i="2" s="1"/>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L2641" i="2" s="1"/>
  <c r="AG2641" i="2"/>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c r="AG2690" i="2"/>
  <c r="AH2690" i="2"/>
  <c r="AL2690" i="2" s="1"/>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L2727" i="2" s="1"/>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s="1"/>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L3123" i="2" s="1"/>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L3253" i="2"/>
  <c r="AH3253" i="2"/>
  <c r="AI3253" i="2"/>
  <c r="AJ3253" i="2"/>
  <c r="AF3254" i="2"/>
  <c r="AK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s="1"/>
  <c r="AL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H3309" i="2"/>
  <c r="AL3309" i="2" s="1"/>
  <c r="AI3309" i="2"/>
  <c r="AJ3309" i="2"/>
  <c r="AF3310" i="2"/>
  <c r="AK3310" i="2"/>
  <c r="AG3310" i="2"/>
  <c r="AH3310" i="2"/>
  <c r="AI3310" i="2"/>
  <c r="AL3310" i="2" s="1"/>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G3328" i="2"/>
  <c r="AH3328" i="2"/>
  <c r="AL3328" i="2" s="1"/>
  <c r="AI3328" i="2"/>
  <c r="AJ3328" i="2"/>
  <c r="AF3329" i="2"/>
  <c r="AK3329" i="2" s="1"/>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L3439" i="2"/>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c r="AG3443" i="2"/>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s="1"/>
  <c r="AL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s="1"/>
  <c r="AG3481" i="2"/>
  <c r="AH3481" i="2"/>
  <c r="AL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L3493" i="2"/>
  <c r="AI3493" i="2"/>
  <c r="AJ3493" i="2"/>
  <c r="AF3494" i="2"/>
  <c r="AG3494" i="2"/>
  <c r="AH3494" i="2"/>
  <c r="AI3494" i="2"/>
  <c r="AJ3494" i="2"/>
  <c r="AK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G3499" i="2"/>
  <c r="AL3499" i="2" s="1"/>
  <c r="AH3499" i="2"/>
  <c r="AI3499" i="2"/>
  <c r="AJ3499" i="2"/>
  <c r="AK3499" i="2"/>
  <c r="AF3500" i="2"/>
  <c r="AK3500" i="2" s="1"/>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G3530" i="2"/>
  <c r="AH3530" i="2"/>
  <c r="AI3530" i="2"/>
  <c r="AJ3530" i="2"/>
  <c r="AF3531" i="2"/>
  <c r="AK3531" i="2" s="1"/>
  <c r="AG3531" i="2"/>
  <c r="AH3531" i="2"/>
  <c r="AL3531" i="2" s="1"/>
  <c r="AI3531" i="2"/>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c r="AG3555" i="2"/>
  <c r="AH3555" i="2"/>
  <c r="AL3555" i="2" s="1"/>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L3571" i="2" s="1"/>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L3579" i="2" s="1"/>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G3611" i="2"/>
  <c r="AH3611" i="2"/>
  <c r="AI3611" i="2"/>
  <c r="AL3611" i="2"/>
  <c r="AJ3611" i="2"/>
  <c r="AF3612" i="2"/>
  <c r="AK3612" i="2" s="1"/>
  <c r="AG3612" i="2"/>
  <c r="AH3612" i="2"/>
  <c r="AI3612" i="2"/>
  <c r="AJ3612" i="2"/>
  <c r="AF3613" i="2"/>
  <c r="AK3613" i="2" s="1"/>
  <c r="AG3613" i="2"/>
  <c r="AH3613" i="2"/>
  <c r="AI3613" i="2"/>
  <c r="AJ3613" i="2"/>
  <c r="AL3613" i="2" s="1"/>
  <c r="AF3614" i="2"/>
  <c r="AK3614" i="2"/>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L3683" i="2" s="1"/>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L3695" i="2" s="1"/>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c r="AG3710" i="2"/>
  <c r="AH3710" i="2"/>
  <c r="AL3710" i="2" s="1"/>
  <c r="AI3710" i="2"/>
  <c r="AJ3710" i="2"/>
  <c r="AF3711" i="2"/>
  <c r="AK3711" i="2" s="1"/>
  <c r="AG3711" i="2"/>
  <c r="AH3711" i="2"/>
  <c r="AI3711" i="2"/>
  <c r="AJ3711" i="2"/>
  <c r="AF3712" i="2"/>
  <c r="AK3712" i="2" s="1"/>
  <c r="AG3712" i="2"/>
  <c r="AH3712" i="2"/>
  <c r="AL3712" i="2" s="1"/>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H3726" i="2"/>
  <c r="AI3726" i="2"/>
  <c r="AL3726" i="2" s="1"/>
  <c r="AJ3726" i="2"/>
  <c r="AF3727" i="2"/>
  <c r="AK3727" i="2" s="1"/>
  <c r="AG3727" i="2"/>
  <c r="AH3727" i="2"/>
  <c r="AI3727" i="2"/>
  <c r="AJ3727" i="2"/>
  <c r="AF3728" i="2"/>
  <c r="AK3728" i="2" s="1"/>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s="1"/>
  <c r="AG3743" i="2"/>
  <c r="AH3743" i="2"/>
  <c r="AL3743" i="2" s="1"/>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s="1"/>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L3755" i="2" s="1"/>
  <c r="AJ3755" i="2"/>
  <c r="AF3756" i="2"/>
  <c r="AK3756" i="2"/>
  <c r="AG3756" i="2"/>
  <c r="AH3756" i="2"/>
  <c r="AI3756" i="2"/>
  <c r="AJ3756" i="2"/>
  <c r="AF3757" i="2"/>
  <c r="AK3757" i="2"/>
  <c r="AG3757" i="2"/>
  <c r="AL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c r="AG3762" i="2"/>
  <c r="AH3762" i="2"/>
  <c r="AI3762" i="2"/>
  <c r="AJ3762" i="2"/>
  <c r="AF3763" i="2"/>
  <c r="AK3763" i="2"/>
  <c r="AG3763" i="2"/>
  <c r="AH3763" i="2"/>
  <c r="AI3763" i="2"/>
  <c r="AJ3763" i="2"/>
  <c r="AF3764" i="2"/>
  <c r="AK3764" i="2"/>
  <c r="AG3764" i="2"/>
  <c r="AH3764" i="2"/>
  <c r="AI3764" i="2"/>
  <c r="AL3764" i="2" s="1"/>
  <c r="AJ3764" i="2"/>
  <c r="AF3765" i="2"/>
  <c r="AK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L3771" i="2" s="1"/>
  <c r="AI3771" i="2"/>
  <c r="AJ3771" i="2"/>
  <c r="AF3772" i="2"/>
  <c r="AK3772" i="2"/>
  <c r="AG3772" i="2"/>
  <c r="AH3772" i="2"/>
  <c r="AI3772" i="2"/>
  <c r="AJ3772" i="2"/>
  <c r="AF3773" i="2"/>
  <c r="AK3773" i="2"/>
  <c r="AG3773" i="2"/>
  <c r="AH3773" i="2"/>
  <c r="AI3773" i="2"/>
  <c r="AJ3773" i="2"/>
  <c r="AF3774" i="2"/>
  <c r="AK3774" i="2"/>
  <c r="AG3774" i="2"/>
  <c r="AH3774" i="2"/>
  <c r="AI3774" i="2"/>
  <c r="AL3774" i="2" s="1"/>
  <c r="AJ3774" i="2"/>
  <c r="AF3775" i="2"/>
  <c r="AK3775" i="2" s="1"/>
  <c r="AG3775" i="2"/>
  <c r="AH3775" i="2"/>
  <c r="AL3775" i="2" s="1"/>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H3790" i="2"/>
  <c r="AI3790" i="2"/>
  <c r="AL3790" i="2" s="1"/>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L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G3835" i="2"/>
  <c r="AH3835" i="2"/>
  <c r="AL3835" i="2" s="1"/>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L3872" i="2" s="1"/>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L3883" i="2" s="1"/>
  <c r="AH3883" i="2"/>
  <c r="AI3883" i="2"/>
  <c r="AJ3883" i="2"/>
  <c r="AF3884" i="2"/>
  <c r="AK3884" i="2"/>
  <c r="AG3884" i="2"/>
  <c r="AL3884" i="2"/>
  <c r="AH3884" i="2"/>
  <c r="AI3884" i="2"/>
  <c r="AJ3884" i="2"/>
  <c r="AF3885" i="2"/>
  <c r="AK3885" i="2" s="1"/>
  <c r="AG3885" i="2"/>
  <c r="AH3885" i="2"/>
  <c r="AL3885" i="2" s="1"/>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L3899" i="2"/>
  <c r="AF3900" i="2"/>
  <c r="AK3900" i="2"/>
  <c r="AG3900" i="2"/>
  <c r="AL3900" i="2"/>
  <c r="AH3900" i="2"/>
  <c r="AI3900" i="2"/>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L3925" i="2" s="1"/>
  <c r="AI3925" i="2"/>
  <c r="AJ3925" i="2"/>
  <c r="AF3926" i="2"/>
  <c r="AK3926" i="2" s="1"/>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L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c r="AH3947" i="2"/>
  <c r="AI3947" i="2"/>
  <c r="AJ3947" i="2"/>
  <c r="AF3948" i="2"/>
  <c r="AK3948" i="2" s="1"/>
  <c r="AG3948" i="2"/>
  <c r="AH3948" i="2"/>
  <c r="AI3948" i="2"/>
  <c r="AJ3948" i="2"/>
  <c r="AF3949" i="2"/>
  <c r="AK3949" i="2"/>
  <c r="AG3949" i="2"/>
  <c r="AH3949" i="2"/>
  <c r="AI3949" i="2"/>
  <c r="AJ3949" i="2"/>
  <c r="AF3950" i="2"/>
  <c r="AK3950" i="2"/>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J3953" i="2"/>
  <c r="AL3953" i="2" s="1"/>
  <c r="AF3954" i="2"/>
  <c r="AK3954" i="2"/>
  <c r="AG3954" i="2"/>
  <c r="AH3954" i="2"/>
  <c r="AI3954" i="2"/>
  <c r="AJ3954" i="2"/>
  <c r="AF3955" i="2"/>
  <c r="AK3955" i="2"/>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L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L3976" i="2" s="1"/>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L3993" i="2" s="1"/>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L4026" i="2" s="1"/>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s="1"/>
  <c r="AL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L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L4072" i="2" s="1"/>
  <c r="AH4072" i="2"/>
  <c r="AI4072" i="2"/>
  <c r="AJ4072" i="2"/>
  <c r="AF4073" i="2"/>
  <c r="AK4073" i="2" s="1"/>
  <c r="AG4073" i="2"/>
  <c r="AH4073" i="2"/>
  <c r="AI4073" i="2"/>
  <c r="AJ4073" i="2"/>
  <c r="AF4074" i="2"/>
  <c r="AK4074" i="2" s="1"/>
  <c r="AL4074" i="2" s="1"/>
  <c r="AG4074" i="2"/>
  <c r="AH4074" i="2"/>
  <c r="AI4074" i="2"/>
  <c r="AJ4074" i="2"/>
  <c r="AF4075" i="2"/>
  <c r="AK4075" i="2" s="1"/>
  <c r="AG4075" i="2"/>
  <c r="AH4075" i="2"/>
  <c r="AL4075" i="2" s="1"/>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L4083" i="2" s="1"/>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J4111" i="2"/>
  <c r="AL4111" i="2" s="1"/>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c r="AG4116" i="2"/>
  <c r="AH4116" i="2"/>
  <c r="AI4116" i="2"/>
  <c r="AJ4116" i="2"/>
  <c r="AF4117" i="2"/>
  <c r="AG4117" i="2"/>
  <c r="AH4117" i="2"/>
  <c r="AI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H4129" i="2"/>
  <c r="AI4129" i="2"/>
  <c r="AJ4129" i="2"/>
  <c r="AF4130" i="2"/>
  <c r="AK4130" i="2"/>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L4162" i="2" s="1"/>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s="1"/>
  <c r="AL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L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L4186" i="2" s="1"/>
  <c r="AF4187" i="2"/>
  <c r="AK4187" i="2" s="1"/>
  <c r="AG4187" i="2"/>
  <c r="AH4187" i="2"/>
  <c r="AI4187" i="2"/>
  <c r="AJ4187" i="2"/>
  <c r="AF4188" i="2"/>
  <c r="AK4188" i="2" s="1"/>
  <c r="AG4188" i="2"/>
  <c r="AH4188" i="2"/>
  <c r="AI4188" i="2"/>
  <c r="AJ4188" i="2"/>
  <c r="AF4189" i="2"/>
  <c r="AK4189" i="2" s="1"/>
  <c r="AG4189" i="2"/>
  <c r="AH4189" i="2"/>
  <c r="AI4189" i="2"/>
  <c r="AJ4189" i="2"/>
  <c r="AF4190" i="2"/>
  <c r="AK4190" i="2"/>
  <c r="AG4190" i="2"/>
  <c r="AH4190" i="2"/>
  <c r="AL4190" i="2" s="1"/>
  <c r="AI4190" i="2"/>
  <c r="AJ4190" i="2"/>
  <c r="AF4191" i="2"/>
  <c r="AK4191" i="2"/>
  <c r="AG4191" i="2"/>
  <c r="AH4191" i="2"/>
  <c r="AI4191" i="2"/>
  <c r="AJ4191" i="2"/>
  <c r="AF4192" i="2"/>
  <c r="AK4192" i="2" s="1"/>
  <c r="AG4192" i="2"/>
  <c r="AH4192" i="2"/>
  <c r="AI4192" i="2"/>
  <c r="AJ4192" i="2"/>
  <c r="AF4193" i="2"/>
  <c r="AK4193" i="2" s="1"/>
  <c r="AG4193" i="2"/>
  <c r="AH4193" i="2"/>
  <c r="AI4193" i="2"/>
  <c r="AJ4193" i="2"/>
  <c r="AF4194" i="2"/>
  <c r="AK4194" i="2" s="1"/>
  <c r="AG4194" i="2"/>
  <c r="AL4194" i="2" s="1"/>
  <c r="AH4194" i="2"/>
  <c r="AI4194" i="2"/>
  <c r="AJ4194" i="2"/>
  <c r="AF4195" i="2"/>
  <c r="AK4195" i="2" s="1"/>
  <c r="AL4195" i="2" s="1"/>
  <c r="AG4195" i="2"/>
  <c r="AH4195" i="2"/>
  <c r="AI4195" i="2"/>
  <c r="AJ4195" i="2"/>
  <c r="AF4196" i="2"/>
  <c r="AK4196" i="2"/>
  <c r="AG4196" i="2"/>
  <c r="AH4196" i="2"/>
  <c r="AI4196" i="2"/>
  <c r="AJ4196" i="2"/>
  <c r="AF4197" i="2"/>
  <c r="AK4197" i="2" s="1"/>
  <c r="AG4197" i="2"/>
  <c r="AH4197" i="2"/>
  <c r="AI4197" i="2"/>
  <c r="AJ4197" i="2"/>
  <c r="AF4198" i="2"/>
  <c r="AK4198" i="2" s="1"/>
  <c r="AL4198" i="2" s="1"/>
  <c r="AG4198" i="2"/>
  <c r="AH4198" i="2"/>
  <c r="AI4198" i="2"/>
  <c r="AJ4198" i="2"/>
  <c r="AF4199" i="2"/>
  <c r="AK4199" i="2" s="1"/>
  <c r="AL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c r="AG4205" i="2"/>
  <c r="AH4205" i="2"/>
  <c r="AI4205" i="2"/>
  <c r="AJ4205" i="2"/>
  <c r="AF4206" i="2"/>
  <c r="AK4206" i="2" s="1"/>
  <c r="AG4206" i="2"/>
  <c r="AH4206" i="2"/>
  <c r="AI4206" i="2"/>
  <c r="AJ4206" i="2"/>
  <c r="AF4207" i="2"/>
  <c r="AK4207" i="2" s="1"/>
  <c r="AL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L4250" i="2" s="1"/>
  <c r="AJ4250" i="2"/>
  <c r="AF4251" i="2"/>
  <c r="AK4251" i="2" s="1"/>
  <c r="AG4251" i="2"/>
  <c r="AH4251" i="2"/>
  <c r="AI4251" i="2"/>
  <c r="AJ4251" i="2"/>
  <c r="AF4252" i="2"/>
  <c r="AK4252" i="2"/>
  <c r="AG4252" i="2"/>
  <c r="AH4252" i="2"/>
  <c r="AI4252" i="2"/>
  <c r="AL4252" i="2" s="1"/>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L4257" i="2" s="1"/>
  <c r="AF4258" i="2"/>
  <c r="AK4258" i="2"/>
  <c r="AG4258" i="2"/>
  <c r="AL4258" i="2"/>
  <c r="AH4258" i="2"/>
  <c r="AI4258" i="2"/>
  <c r="AJ4258" i="2"/>
  <c r="AF4259" i="2"/>
  <c r="AK4259" i="2" s="1"/>
  <c r="AG4259" i="2"/>
  <c r="AL4259" i="2" s="1"/>
  <c r="AH4259" i="2"/>
  <c r="AI4259" i="2"/>
  <c r="AJ4259" i="2"/>
  <c r="AF4260" i="2"/>
  <c r="AK4260" i="2" s="1"/>
  <c r="AG4260" i="2"/>
  <c r="AH4260" i="2"/>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G4270" i="2"/>
  <c r="AL4270" i="2" s="1"/>
  <c r="AH4270" i="2"/>
  <c r="AI4270" i="2"/>
  <c r="AJ4270" i="2"/>
  <c r="AK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L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L4292" i="2" s="1"/>
  <c r="AG4292" i="2"/>
  <c r="AH4292" i="2"/>
  <c r="AI4292" i="2"/>
  <c r="AJ4292" i="2"/>
  <c r="AF4293" i="2"/>
  <c r="AK4293" i="2" s="1"/>
  <c r="AG4293" i="2"/>
  <c r="AH4293" i="2"/>
  <c r="AI4293" i="2"/>
  <c r="AJ4293" i="2"/>
  <c r="AF4294" i="2"/>
  <c r="AK4294" i="2" s="1"/>
  <c r="AG4294" i="2"/>
  <c r="AH4294" i="2"/>
  <c r="AL4294" i="2" s="1"/>
  <c r="AI4294" i="2"/>
  <c r="AJ4294" i="2"/>
  <c r="AF4295" i="2"/>
  <c r="AK4295" i="2"/>
  <c r="AG4295" i="2"/>
  <c r="AL4295" i="2" s="1"/>
  <c r="AH4295" i="2"/>
  <c r="AI4295" i="2"/>
  <c r="AJ4295" i="2"/>
  <c r="AF4296" i="2"/>
  <c r="AK4296" i="2" s="1"/>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s="1"/>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L4318" i="2" s="1"/>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L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L4371" i="2" s="1"/>
  <c r="AH4371" i="2"/>
  <c r="AI4371" i="2"/>
  <c r="AJ4371" i="2"/>
  <c r="AF4372" i="2"/>
  <c r="AK4372" i="2" s="1"/>
  <c r="AG4372" i="2"/>
  <c r="AH4372" i="2"/>
  <c r="AI4372" i="2"/>
  <c r="AJ4372" i="2"/>
  <c r="AL4372" i="2" s="1"/>
  <c r="AF4373" i="2"/>
  <c r="AK4373" i="2"/>
  <c r="AG4373" i="2"/>
  <c r="AL4373" i="2" s="1"/>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L4395" i="2" s="1"/>
  <c r="AG4395" i="2"/>
  <c r="AH4395" i="2"/>
  <c r="AI4395" i="2"/>
  <c r="AJ4395" i="2"/>
  <c r="AF4396" i="2"/>
  <c r="AK4396" i="2" s="1"/>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L4407" i="2" s="1"/>
  <c r="AI4407" i="2"/>
  <c r="AJ4407" i="2"/>
  <c r="AF4408" i="2"/>
  <c r="AK4408" i="2" s="1"/>
  <c r="AG4408" i="2"/>
  <c r="AH4408" i="2"/>
  <c r="AL4408" i="2" s="1"/>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L4420" i="2" s="1"/>
  <c r="AJ4420" i="2"/>
  <c r="AF4421" i="2"/>
  <c r="AK4421" i="2" s="1"/>
  <c r="AG4421" i="2"/>
  <c r="AH4421" i="2"/>
  <c r="AI4421" i="2"/>
  <c r="AJ4421" i="2"/>
  <c r="AL4421" i="2" s="1"/>
  <c r="AF4422" i="2"/>
  <c r="AK4422" i="2"/>
  <c r="AG4422" i="2"/>
  <c r="AL4422" i="2"/>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L4432" i="2" s="1"/>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L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L4458" i="2" s="1"/>
  <c r="AH4458" i="2"/>
  <c r="AI4458" i="2"/>
  <c r="AJ4458" i="2"/>
  <c r="AF4459" i="2"/>
  <c r="AK4459" i="2" s="1"/>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L4464" i="2" s="1"/>
  <c r="AJ4464" i="2"/>
  <c r="AF4465" i="2"/>
  <c r="AK4465" i="2" s="1"/>
  <c r="AL4465" i="2" s="1"/>
  <c r="AG4465" i="2"/>
  <c r="AH4465" i="2"/>
  <c r="AI4465" i="2"/>
  <c r="AJ4465" i="2"/>
  <c r="AF4466" i="2"/>
  <c r="AK4466" i="2"/>
  <c r="AG4466" i="2"/>
  <c r="AH4466" i="2"/>
  <c r="AI4466" i="2"/>
  <c r="AJ4466" i="2"/>
  <c r="AF4467" i="2"/>
  <c r="AK4467" i="2"/>
  <c r="AG4467" i="2"/>
  <c r="AH4467" i="2"/>
  <c r="AI4467" i="2"/>
  <c r="AL4467" i="2" s="1"/>
  <c r="AJ4467" i="2"/>
  <c r="AF4468" i="2"/>
  <c r="AK4468" i="2" s="1"/>
  <c r="AG4468" i="2"/>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s="1"/>
  <c r="AG4474" i="2"/>
  <c r="AL4474" i="2" s="1"/>
  <c r="AH4474" i="2"/>
  <c r="AI4474" i="2"/>
  <c r="AJ4474" i="2"/>
  <c r="AF4475" i="2"/>
  <c r="AK4475" i="2"/>
  <c r="AG4475" i="2"/>
  <c r="AL4475" i="2"/>
  <c r="AH4475" i="2"/>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L4479" i="2" s="1"/>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s="1"/>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s="1"/>
  <c r="AG4497" i="2"/>
  <c r="AL4497" i="2" s="1"/>
  <c r="AH4497" i="2"/>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s="1"/>
  <c r="AL4501" i="2" s="1"/>
  <c r="AG4501" i="2"/>
  <c r="AH4501" i="2"/>
  <c r="AI4501" i="2"/>
  <c r="AJ4501" i="2"/>
  <c r="AF4502" i="2"/>
  <c r="AK4502" i="2" s="1"/>
  <c r="AG4502" i="2"/>
  <c r="AH4502" i="2"/>
  <c r="AL4502" i="2" s="1"/>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L4506" i="2" s="1"/>
  <c r="AG4506" i="2"/>
  <c r="AH4506" i="2"/>
  <c r="AI4506" i="2"/>
  <c r="AJ4506" i="2"/>
  <c r="AF4507" i="2"/>
  <c r="AK4507" i="2" s="1"/>
  <c r="AG4507" i="2"/>
  <c r="AL4507" i="2" s="1"/>
  <c r="AH4507" i="2"/>
  <c r="AI4507" i="2"/>
  <c r="AJ4507" i="2"/>
  <c r="AF4508" i="2"/>
  <c r="AK4508" i="2"/>
  <c r="AG4508" i="2"/>
  <c r="AH4508" i="2"/>
  <c r="AL4508" i="2" s="1"/>
  <c r="AI4508" i="2"/>
  <c r="AJ4508" i="2"/>
  <c r="AF4509" i="2"/>
  <c r="AK4509" i="2" s="1"/>
  <c r="AL4509" i="2" s="1"/>
  <c r="AG4509" i="2"/>
  <c r="AH4509" i="2"/>
  <c r="AI4509" i="2"/>
  <c r="AJ4509" i="2"/>
  <c r="AF4510" i="2"/>
  <c r="AK4510" i="2" s="1"/>
  <c r="AG4510" i="2"/>
  <c r="AL4510" i="2" s="1"/>
  <c r="AH4510" i="2"/>
  <c r="AI4510" i="2"/>
  <c r="AJ4510" i="2"/>
  <c r="AF4511" i="2"/>
  <c r="AK4511" i="2"/>
  <c r="AG4511" i="2"/>
  <c r="AH4511" i="2"/>
  <c r="AI4511" i="2"/>
  <c r="AL4511" i="2"/>
  <c r="AJ4511" i="2"/>
  <c r="AF4512" i="2"/>
  <c r="AK4512" i="2" s="1"/>
  <c r="AG4512" i="2"/>
  <c r="AH4512" i="2"/>
  <c r="AI4512" i="2"/>
  <c r="AJ4512" i="2"/>
  <c r="AF4513" i="2"/>
  <c r="AK4513" i="2" s="1"/>
  <c r="AG4513" i="2"/>
  <c r="AH4513" i="2"/>
  <c r="AL4513" i="2" s="1"/>
  <c r="AI4513" i="2"/>
  <c r="AJ4513" i="2"/>
  <c r="AF4514" i="2"/>
  <c r="AK4514" i="2"/>
  <c r="AG4514" i="2"/>
  <c r="AL4514" i="2" s="1"/>
  <c r="AH4514" i="2"/>
  <c r="AI4514" i="2"/>
  <c r="AJ4514" i="2"/>
  <c r="AF4515" i="2"/>
  <c r="AK4515" i="2" s="1"/>
  <c r="AG4515" i="2"/>
  <c r="AH4515" i="2"/>
  <c r="AI4515" i="2"/>
  <c r="AJ4515" i="2"/>
  <c r="AF4516" i="2"/>
  <c r="AK4516" i="2" s="1"/>
  <c r="AG4516" i="2"/>
  <c r="AH4516" i="2"/>
  <c r="AI4516" i="2"/>
  <c r="AJ4516" i="2"/>
  <c r="AF4517" i="2"/>
  <c r="AK4517" i="2" s="1"/>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L4521" i="2" s="1"/>
  <c r="AJ4521" i="2"/>
  <c r="AF4522" i="2"/>
  <c r="AK4522" i="2" s="1"/>
  <c r="AG4522" i="2"/>
  <c r="AH4522" i="2"/>
  <c r="AI4522" i="2"/>
  <c r="AJ4522" i="2"/>
  <c r="AF4523" i="2"/>
  <c r="AK4523" i="2" s="1"/>
  <c r="AG4523" i="2"/>
  <c r="AH4523" i="2"/>
  <c r="AI4523" i="2"/>
  <c r="AL4523" i="2" s="1"/>
  <c r="AJ4523" i="2"/>
  <c r="AF4524" i="2"/>
  <c r="AK4524" i="2"/>
  <c r="AG4524" i="2"/>
  <c r="AH4524" i="2"/>
  <c r="AI4524" i="2"/>
  <c r="AL4524" i="2"/>
  <c r="AJ4524" i="2"/>
  <c r="AF4525" i="2"/>
  <c r="AK4525" i="2" s="1"/>
  <c r="AG4525" i="2"/>
  <c r="AH4525" i="2"/>
  <c r="AI4525" i="2"/>
  <c r="AJ4525" i="2"/>
  <c r="AF4526" i="2"/>
  <c r="AK4526" i="2" s="1"/>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s="1"/>
  <c r="AG4534" i="2"/>
  <c r="AL4534" i="2" s="1"/>
  <c r="AH4534" i="2"/>
  <c r="AI4534" i="2"/>
  <c r="AJ4534" i="2"/>
  <c r="AF4535" i="2"/>
  <c r="AK4535" i="2"/>
  <c r="AG4535" i="2"/>
  <c r="AH4535" i="2"/>
  <c r="AL4535" i="2" s="1"/>
  <c r="AI4535" i="2"/>
  <c r="AJ4535" i="2"/>
  <c r="AF4536" i="2"/>
  <c r="AK4536" i="2" s="1"/>
  <c r="AG4536" i="2"/>
  <c r="AL4536" i="2" s="1"/>
  <c r="AH4536" i="2"/>
  <c r="AI4536" i="2"/>
  <c r="AJ4536" i="2"/>
  <c r="AF4537" i="2"/>
  <c r="AK4537" i="2"/>
  <c r="AG4537" i="2"/>
  <c r="AH4537" i="2"/>
  <c r="AI4537" i="2"/>
  <c r="AJ4537" i="2"/>
  <c r="AF4538" i="2"/>
  <c r="AK4538" i="2"/>
  <c r="AG4538" i="2"/>
  <c r="AL4538" i="2"/>
  <c r="AH4538" i="2"/>
  <c r="AI4538" i="2"/>
  <c r="AJ4538" i="2"/>
  <c r="AF4539" i="2"/>
  <c r="AK4539" i="2" s="1"/>
  <c r="AG4539" i="2"/>
  <c r="AL4539" i="2" s="1"/>
  <c r="AH4539" i="2"/>
  <c r="AI4539" i="2"/>
  <c r="AJ4539" i="2"/>
  <c r="AF4540" i="2"/>
  <c r="AK4540" i="2"/>
  <c r="AG4540" i="2"/>
  <c r="AH4540" i="2"/>
  <c r="AI4540" i="2"/>
  <c r="AL4540" i="2" s="1"/>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L4544" i="2" s="1"/>
  <c r="AH4544" i="2"/>
  <c r="AI4544" i="2"/>
  <c r="AJ4544" i="2"/>
  <c r="AF4545" i="2"/>
  <c r="AK4545" i="2" s="1"/>
  <c r="AL4545" i="2" s="1"/>
  <c r="AG4545" i="2"/>
  <c r="AH4545" i="2"/>
  <c r="AI4545" i="2"/>
  <c r="AJ4545" i="2"/>
  <c r="AF4546" i="2"/>
  <c r="AK4546" i="2" s="1"/>
  <c r="AG4546" i="2"/>
  <c r="AH4546" i="2"/>
  <c r="AI4546" i="2"/>
  <c r="AJ4546" i="2"/>
  <c r="AL4546" i="2" s="1"/>
  <c r="AF4547" i="2"/>
  <c r="AK4547" i="2"/>
  <c r="AG4547" i="2"/>
  <c r="AL4547" i="2" s="1"/>
  <c r="AH4547" i="2"/>
  <c r="AI4547" i="2"/>
  <c r="AJ4547" i="2"/>
  <c r="AF4548" i="2"/>
  <c r="AK4548" i="2" s="1"/>
  <c r="AL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L4560" i="2" s="1"/>
  <c r="AF4561" i="2"/>
  <c r="AK4561" i="2"/>
  <c r="AG4561" i="2"/>
  <c r="AL4561" i="2"/>
  <c r="AH4561" i="2"/>
  <c r="AI4561" i="2"/>
  <c r="AJ4561" i="2"/>
  <c r="AF4562" i="2"/>
  <c r="AK4562" i="2" s="1"/>
  <c r="AG4562" i="2"/>
  <c r="AH4562" i="2"/>
  <c r="AI4562" i="2"/>
  <c r="AJ4562" i="2"/>
  <c r="AF4563" i="2"/>
  <c r="AK4563" i="2"/>
  <c r="AG4563" i="2"/>
  <c r="AH4563" i="2"/>
  <c r="AI4563" i="2"/>
  <c r="AJ4563" i="2"/>
  <c r="AF4564" i="2"/>
  <c r="AK4564" i="2"/>
  <c r="AG4564" i="2"/>
  <c r="AL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L4568" i="2" s="1"/>
  <c r="AH4568" i="2"/>
  <c r="AI4568" i="2"/>
  <c r="AJ4568" i="2"/>
  <c r="AF4569" i="2"/>
  <c r="AK4569" i="2" s="1"/>
  <c r="AG4569" i="2"/>
  <c r="AL4569" i="2" s="1"/>
  <c r="AH4569" i="2"/>
  <c r="AI4569" i="2"/>
  <c r="AJ4569" i="2"/>
  <c r="AF4570" i="2"/>
  <c r="AK4570" i="2"/>
  <c r="AG4570" i="2"/>
  <c r="AL4570" i="2"/>
  <c r="AH4570" i="2"/>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J4575" i="2"/>
  <c r="AF4576" i="2"/>
  <c r="AK4576" i="2" s="1"/>
  <c r="AG4576" i="2"/>
  <c r="AH4576" i="2"/>
  <c r="AI4576" i="2"/>
  <c r="AJ4576" i="2"/>
  <c r="AF4577" i="2"/>
  <c r="AK4577" i="2" s="1"/>
  <c r="AG4577" i="2"/>
  <c r="AH4577" i="2"/>
  <c r="AI4577" i="2"/>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L4584" i="2" s="1"/>
  <c r="AJ4584" i="2"/>
  <c r="AF4585" i="2"/>
  <c r="AK4585" i="2" s="1"/>
  <c r="AG4585" i="2"/>
  <c r="AH4585" i="2"/>
  <c r="AI4585" i="2"/>
  <c r="AJ4585" i="2"/>
  <c r="AL4585" i="2" s="1"/>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G4603" i="2"/>
  <c r="AH4603" i="2"/>
  <c r="AI4603" i="2"/>
  <c r="AL4603" i="2"/>
  <c r="AJ4603" i="2"/>
  <c r="AF4604" i="2"/>
  <c r="AK4604" i="2" s="1"/>
  <c r="AG4604" i="2"/>
  <c r="AH4604" i="2"/>
  <c r="AI4604" i="2"/>
  <c r="AJ4604" i="2"/>
  <c r="AF4605" i="2"/>
  <c r="AK4605" i="2" s="1"/>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G4611" i="2"/>
  <c r="AH4611" i="2"/>
  <c r="AI4611" i="2"/>
  <c r="AJ4611" i="2"/>
  <c r="AF4612" i="2"/>
  <c r="AK4612" i="2" s="1"/>
  <c r="AG4612" i="2"/>
  <c r="AL4612" i="2" s="1"/>
  <c r="AH4612" i="2"/>
  <c r="AI4612" i="2"/>
  <c r="AJ4612" i="2"/>
  <c r="AF4613" i="2"/>
  <c r="AK4613" i="2"/>
  <c r="AG4613" i="2"/>
  <c r="AH4613" i="2"/>
  <c r="AL4613" i="2" s="1"/>
  <c r="AI4613" i="2"/>
  <c r="AJ4613" i="2"/>
  <c r="AF4614" i="2"/>
  <c r="AK4614" i="2" s="1"/>
  <c r="AG4614" i="2"/>
  <c r="AH4614" i="2"/>
  <c r="AI4614" i="2"/>
  <c r="AJ4614" i="2"/>
  <c r="AF4615" i="2"/>
  <c r="AK4615" i="2" s="1"/>
  <c r="AG4615" i="2"/>
  <c r="AH4615" i="2"/>
  <c r="AI4615" i="2"/>
  <c r="AJ4615" i="2"/>
  <c r="AF4616" i="2"/>
  <c r="AK4616" i="2" s="1"/>
  <c r="AG4616" i="2"/>
  <c r="AL4616" i="2" s="1"/>
  <c r="AH4616" i="2"/>
  <c r="AI4616" i="2"/>
  <c r="AJ4616" i="2"/>
  <c r="AF4617" i="2"/>
  <c r="AK4617" i="2"/>
  <c r="AG4617" i="2"/>
  <c r="AH4617" i="2"/>
  <c r="AI4617" i="2"/>
  <c r="AJ4617" i="2"/>
  <c r="AF4618" i="2"/>
  <c r="AK4618" i="2"/>
  <c r="AG4618" i="2"/>
  <c r="AL4618" i="2" s="1"/>
  <c r="AH4618" i="2"/>
  <c r="AI4618" i="2"/>
  <c r="AJ4618" i="2"/>
  <c r="AF4619" i="2"/>
  <c r="AK4619" i="2" s="1"/>
  <c r="AL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L4625" i="2" s="1"/>
  <c r="AJ4625" i="2"/>
  <c r="AF4626" i="2"/>
  <c r="AK4626" i="2" s="1"/>
  <c r="AG4626" i="2"/>
  <c r="AH4626" i="2"/>
  <c r="AI4626" i="2"/>
  <c r="AJ4626" i="2"/>
  <c r="AF4627" i="2"/>
  <c r="AK4627" i="2"/>
  <c r="AG4627" i="2"/>
  <c r="AL4627" i="2" s="1"/>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s="1"/>
  <c r="AG4631" i="2"/>
  <c r="AL4631" i="2" s="1"/>
  <c r="AH4631" i="2"/>
  <c r="AI4631" i="2"/>
  <c r="AJ4631" i="2"/>
  <c r="AF4632" i="2"/>
  <c r="AK4632" i="2"/>
  <c r="AG4632" i="2"/>
  <c r="AH4632" i="2"/>
  <c r="AI4632" i="2"/>
  <c r="AJ4632" i="2"/>
  <c r="AF4633" i="2"/>
  <c r="AK4633" i="2"/>
  <c r="AG4633" i="2"/>
  <c r="AH4633" i="2"/>
  <c r="AI4633" i="2"/>
  <c r="AJ4633" i="2"/>
  <c r="AF4634" i="2"/>
  <c r="AK4634" i="2"/>
  <c r="AG4634" i="2"/>
  <c r="AH4634" i="2"/>
  <c r="AL4634" i="2" s="1"/>
  <c r="AI4634" i="2"/>
  <c r="AJ4634" i="2"/>
  <c r="AF4635" i="2"/>
  <c r="AK4635" i="2" s="1"/>
  <c r="AG4635" i="2"/>
  <c r="AH4635" i="2"/>
  <c r="AI4635" i="2"/>
  <c r="AJ4635" i="2"/>
  <c r="AF4636" i="2"/>
  <c r="AK4636" i="2" s="1"/>
  <c r="AG4636" i="2"/>
  <c r="AH4636" i="2"/>
  <c r="AI4636" i="2"/>
  <c r="AJ4636" i="2"/>
  <c r="AF4637" i="2"/>
  <c r="AK4637" i="2" s="1"/>
  <c r="AG4637" i="2"/>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L4640" i="2" s="1"/>
  <c r="AF4641" i="2"/>
  <c r="AK4641" i="2"/>
  <c r="AG4641" i="2"/>
  <c r="AL4641" i="2" s="1"/>
  <c r="AH4641" i="2"/>
  <c r="AI4641" i="2"/>
  <c r="AJ4641" i="2"/>
  <c r="AF4642" i="2"/>
  <c r="AK4642" i="2" s="1"/>
  <c r="AL4642" i="2" s="1"/>
  <c r="AG4642" i="2"/>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s="1"/>
  <c r="AL4648" i="2" s="1"/>
  <c r="AG4648" i="2"/>
  <c r="AH4648" i="2"/>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H4652" i="2"/>
  <c r="AI4652" i="2"/>
  <c r="AJ4652" i="2"/>
  <c r="AF4653" i="2"/>
  <c r="AK4653" i="2"/>
  <c r="AG4653" i="2"/>
  <c r="AH4653" i="2"/>
  <c r="AI4653" i="2"/>
  <c r="AL4653" i="2" s="1"/>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s="1"/>
  <c r="AG4662" i="2"/>
  <c r="AH4662" i="2"/>
  <c r="AI4662" i="2"/>
  <c r="AJ4662" i="2"/>
  <c r="AL4662" i="2" s="1"/>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I4666" i="2"/>
  <c r="AL4666" i="2" s="1"/>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s="1"/>
  <c r="AG4671" i="2"/>
  <c r="AH4671" i="2"/>
  <c r="AI4671" i="2"/>
  <c r="AJ4671" i="2"/>
  <c r="AF4672" i="2"/>
  <c r="AK4672" i="2" s="1"/>
  <c r="AL4672" i="2" s="1"/>
  <c r="AG4672" i="2"/>
  <c r="AH4672" i="2"/>
  <c r="AI4672" i="2"/>
  <c r="AJ4672" i="2"/>
  <c r="AF4673" i="2"/>
  <c r="AK4673" i="2"/>
  <c r="AG4673" i="2"/>
  <c r="AH4673" i="2"/>
  <c r="AL4673" i="2" s="1"/>
  <c r="AI4673" i="2"/>
  <c r="AJ4673" i="2"/>
  <c r="AF4674" i="2"/>
  <c r="AK4674" i="2" s="1"/>
  <c r="AG4674" i="2"/>
  <c r="AL4674" i="2" s="1"/>
  <c r="AH4674" i="2"/>
  <c r="AI4674" i="2"/>
  <c r="AJ4674" i="2"/>
  <c r="AF4675" i="2"/>
  <c r="AK4675" i="2"/>
  <c r="AG4675" i="2"/>
  <c r="AH4675" i="2"/>
  <c r="AI4675" i="2"/>
  <c r="AJ4675" i="2"/>
  <c r="AF4676" i="2"/>
  <c r="AK4676" i="2"/>
  <c r="AG4676" i="2"/>
  <c r="AL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H4680" i="2"/>
  <c r="AI4680" i="2"/>
  <c r="AJ4680" i="2"/>
  <c r="AF4681" i="2"/>
  <c r="AK4681" i="2"/>
  <c r="AG4681" i="2"/>
  <c r="AL4681" i="2" s="1"/>
  <c r="AH4681" i="2"/>
  <c r="AI4681" i="2"/>
  <c r="AJ4681" i="2"/>
  <c r="AF4682" i="2"/>
  <c r="AK4682" i="2" s="1"/>
  <c r="AG4682" i="2"/>
  <c r="AL4682" i="2" s="1"/>
  <c r="AH4682" i="2"/>
  <c r="AI4682" i="2"/>
  <c r="AJ4682" i="2"/>
  <c r="AF4683" i="2"/>
  <c r="AK4683" i="2"/>
  <c r="AG4683" i="2"/>
  <c r="AH4683" i="2"/>
  <c r="AI4683" i="2"/>
  <c r="AL4683" i="2" s="1"/>
  <c r="AJ4683" i="2"/>
  <c r="AF4684" i="2"/>
  <c r="AK4684" i="2" s="1"/>
  <c r="AG4684" i="2"/>
  <c r="AH4684" i="2"/>
  <c r="AI4684" i="2"/>
  <c r="AJ4684" i="2"/>
  <c r="AF4685" i="2"/>
  <c r="AK4685" i="2" s="1"/>
  <c r="AG4685" i="2"/>
  <c r="AH4685" i="2"/>
  <c r="AL4685" i="2" s="1"/>
  <c r="AI4685" i="2"/>
  <c r="AJ4685" i="2"/>
  <c r="AF4686" i="2"/>
  <c r="AK4686" i="2"/>
  <c r="AG4686" i="2"/>
  <c r="AH4686" i="2"/>
  <c r="AI4686" i="2"/>
  <c r="AJ4686" i="2"/>
  <c r="AF4687" i="2"/>
  <c r="AK4687" i="2"/>
  <c r="AG4687" i="2"/>
  <c r="AH4687" i="2"/>
  <c r="AL4687" i="2" s="1"/>
  <c r="AI4687" i="2"/>
  <c r="AJ4687" i="2"/>
  <c r="AF4688" i="2"/>
  <c r="AK4688" i="2" s="1"/>
  <c r="AG4688" i="2"/>
  <c r="AH4688" i="2"/>
  <c r="AI4688" i="2"/>
  <c r="AJ4688" i="2"/>
  <c r="AF4689" i="2"/>
  <c r="AK4689" i="2" s="1"/>
  <c r="AG4689" i="2"/>
  <c r="AH4689" i="2"/>
  <c r="AI4689" i="2"/>
  <c r="AJ4689" i="2"/>
  <c r="AF4690" i="2"/>
  <c r="AK4690" i="2" s="1"/>
  <c r="AL4690" i="2" s="1"/>
  <c r="AG4690" i="2"/>
  <c r="AH4690" i="2"/>
  <c r="AI4690" i="2"/>
  <c r="AJ4690" i="2"/>
  <c r="AF4691" i="2"/>
  <c r="AK4691" i="2"/>
  <c r="AG4691" i="2"/>
  <c r="AL4691" i="2" s="1"/>
  <c r="AH4691" i="2"/>
  <c r="AI4691" i="2"/>
  <c r="AJ4691" i="2"/>
  <c r="AF4692" i="2"/>
  <c r="AK4692" i="2" s="1"/>
  <c r="AG4692" i="2"/>
  <c r="AL4692" i="2" s="1"/>
  <c r="AH4692" i="2"/>
  <c r="AI4692" i="2"/>
  <c r="AJ4692" i="2"/>
  <c r="AF4693" i="2"/>
  <c r="AG4693" i="2"/>
  <c r="AL4693" i="2" s="1"/>
  <c r="AH4693" i="2"/>
  <c r="AI4693" i="2"/>
  <c r="AJ4693" i="2"/>
  <c r="AK4693" i="2"/>
  <c r="AF4694" i="2"/>
  <c r="AK4694" i="2" s="1"/>
  <c r="AL4694" i="2" s="1"/>
  <c r="AG4694" i="2"/>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L4699" i="2" s="1"/>
  <c r="AH4699" i="2"/>
  <c r="AI4699" i="2"/>
  <c r="AJ4699" i="2"/>
  <c r="AF4700" i="2"/>
  <c r="AK4700" i="2" s="1"/>
  <c r="AG4700" i="2"/>
  <c r="AH4700" i="2"/>
  <c r="AI4700" i="2"/>
  <c r="AJ4700" i="2"/>
  <c r="AF4701" i="2"/>
  <c r="AK4701" i="2"/>
  <c r="AG4701" i="2"/>
  <c r="AL4701" i="2" s="1"/>
  <c r="AH4701" i="2"/>
  <c r="AI4701" i="2"/>
  <c r="AJ4701" i="2"/>
  <c r="AF4702" i="2"/>
  <c r="AK4702" i="2" s="1"/>
  <c r="AG4702" i="2"/>
  <c r="AL4702" i="2" s="1"/>
  <c r="AH4702" i="2"/>
  <c r="AI4702" i="2"/>
  <c r="AJ4702" i="2"/>
  <c r="AF4703" i="2"/>
  <c r="AK4703" i="2"/>
  <c r="AG4703" i="2"/>
  <c r="AH4703" i="2"/>
  <c r="AL4703" i="2" s="1"/>
  <c r="AI4703" i="2"/>
  <c r="AJ4703" i="2"/>
  <c r="AF4704" i="2"/>
  <c r="AK4704" i="2" s="1"/>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L4707" i="2" s="1"/>
  <c r="AJ4707" i="2"/>
  <c r="AF4708" i="2"/>
  <c r="AK4708" i="2" s="1"/>
  <c r="AG4708" i="2"/>
  <c r="AH4708" i="2"/>
  <c r="AI4708" i="2"/>
  <c r="AJ4708" i="2"/>
  <c r="AF4709" i="2"/>
  <c r="AK4709" i="2"/>
  <c r="AG4709" i="2"/>
  <c r="AL4709" i="2"/>
  <c r="AH4709" i="2"/>
  <c r="AI4709" i="2"/>
  <c r="AJ4709" i="2"/>
  <c r="AF4710" i="2"/>
  <c r="AK4710" i="2" s="1"/>
  <c r="AG4710" i="2"/>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I4714" i="2"/>
  <c r="AL4714" i="2"/>
  <c r="AJ4714" i="2"/>
  <c r="AF4715" i="2"/>
  <c r="AK4715" i="2" s="1"/>
  <c r="AG4715" i="2"/>
  <c r="AL4715" i="2" s="1"/>
  <c r="AH4715" i="2"/>
  <c r="AI4715" i="2"/>
  <c r="AJ4715" i="2"/>
  <c r="AF4716" i="2"/>
  <c r="AK4716" i="2"/>
  <c r="AG4716" i="2"/>
  <c r="AH4716" i="2"/>
  <c r="AI4716" i="2"/>
  <c r="AJ4716" i="2"/>
  <c r="AF4717" i="2"/>
  <c r="AK4717" i="2"/>
  <c r="AG4717" i="2"/>
  <c r="AH4717" i="2"/>
  <c r="AI4717" i="2"/>
  <c r="AL4717" i="2" s="1"/>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L4721" i="2" s="1"/>
  <c r="AH4721" i="2"/>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H4725" i="2"/>
  <c r="AI4725" i="2"/>
  <c r="AL4725" i="2" s="1"/>
  <c r="AJ4725" i="2"/>
  <c r="AF4726" i="2"/>
  <c r="AK4726" i="2" s="1"/>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L4729" i="2" s="1"/>
  <c r="AH4729" i="2"/>
  <c r="AI4729" i="2"/>
  <c r="AJ4729" i="2"/>
  <c r="AF4730" i="2"/>
  <c r="AK4730" i="2" s="1"/>
  <c r="AG4730" i="2"/>
  <c r="AH4730" i="2"/>
  <c r="AI4730" i="2"/>
  <c r="AJ4730" i="2"/>
  <c r="AF4731" i="2"/>
  <c r="AK4731" i="2" s="1"/>
  <c r="AG4731" i="2"/>
  <c r="AH4731" i="2"/>
  <c r="AI4731" i="2"/>
  <c r="AJ4731" i="2"/>
  <c r="AF4732" i="2"/>
  <c r="AK4732" i="2"/>
  <c r="AG4732" i="2"/>
  <c r="AH4732" i="2"/>
  <c r="AL4732" i="2" s="1"/>
  <c r="AI4732" i="2"/>
  <c r="AJ4732" i="2"/>
  <c r="AF4733" i="2"/>
  <c r="AK4733" i="2" s="1"/>
  <c r="AG4733" i="2"/>
  <c r="AH4733" i="2"/>
  <c r="AI4733" i="2"/>
  <c r="AJ4733" i="2"/>
  <c r="AF4734" i="2"/>
  <c r="AK4734" i="2" s="1"/>
  <c r="AG4734" i="2"/>
  <c r="AH4734" i="2"/>
  <c r="AI4734" i="2"/>
  <c r="AJ4734" i="2"/>
  <c r="AF4735" i="2"/>
  <c r="AK4735" i="2" s="1"/>
  <c r="AG4735" i="2"/>
  <c r="AH4735" i="2"/>
  <c r="AI4735" i="2"/>
  <c r="AJ4735" i="2"/>
  <c r="AF4736" i="2"/>
  <c r="AK4736" i="2"/>
  <c r="AG4736" i="2"/>
  <c r="AH4736" i="2"/>
  <c r="AI4736" i="2"/>
  <c r="AJ4736" i="2"/>
  <c r="AF4737" i="2"/>
  <c r="AK4737" i="2"/>
  <c r="AG4737" i="2"/>
  <c r="AH4737" i="2"/>
  <c r="AI4737" i="2"/>
  <c r="AL4737" i="2" s="1"/>
  <c r="AJ4737" i="2"/>
  <c r="AF4738" i="2"/>
  <c r="AK4738" i="2" s="1"/>
  <c r="AG4738" i="2"/>
  <c r="AH4738" i="2"/>
  <c r="AI4738" i="2"/>
  <c r="AJ4738" i="2"/>
  <c r="AF4739" i="2"/>
  <c r="AK4739" i="2" s="1"/>
  <c r="AG4739" i="2"/>
  <c r="AH4739" i="2"/>
  <c r="AI4739" i="2"/>
  <c r="AJ4739" i="2"/>
  <c r="AF4740" i="2"/>
  <c r="AK4740" i="2"/>
  <c r="AG4740" i="2"/>
  <c r="AH4740" i="2"/>
  <c r="AI4740" i="2"/>
  <c r="AL4740" i="2" s="1"/>
  <c r="AJ4740" i="2"/>
  <c r="AF4741" i="2"/>
  <c r="AK4741" i="2" s="1"/>
  <c r="AG4741" i="2"/>
  <c r="AL4741" i="2" s="1"/>
  <c r="AH4741" i="2"/>
  <c r="AI4741" i="2"/>
  <c r="AJ4741" i="2"/>
  <c r="AF4742" i="2"/>
  <c r="AK4742" i="2"/>
  <c r="AG4742" i="2"/>
  <c r="AL4742" i="2"/>
  <c r="AH4742" i="2"/>
  <c r="AI4742" i="2"/>
  <c r="AJ4742" i="2"/>
  <c r="AF4743" i="2"/>
  <c r="AK4743" i="2" s="1"/>
  <c r="AG4743" i="2"/>
  <c r="AH4743" i="2"/>
  <c r="AI4743" i="2"/>
  <c r="AL4743" i="2" s="1"/>
  <c r="AJ4743" i="2"/>
  <c r="AF4744" i="2"/>
  <c r="AK4744" i="2"/>
  <c r="AG4744" i="2"/>
  <c r="AH4744" i="2"/>
  <c r="AL4744" i="2" s="1"/>
  <c r="AI4744" i="2"/>
  <c r="AJ4744" i="2"/>
  <c r="AF4745" i="2"/>
  <c r="AK4745" i="2" s="1"/>
  <c r="AG4745" i="2"/>
  <c r="AH4745" i="2"/>
  <c r="AI4745" i="2"/>
  <c r="AJ4745" i="2"/>
  <c r="AL4745" i="2" s="1"/>
  <c r="AF4746" i="2"/>
  <c r="AK4746" i="2"/>
  <c r="AG4746" i="2"/>
  <c r="AL4746" i="2" s="1"/>
  <c r="AH4746" i="2"/>
  <c r="AI4746" i="2"/>
  <c r="AJ4746" i="2"/>
  <c r="AF4747" i="2"/>
  <c r="AK4747" i="2" s="1"/>
  <c r="AG4747" i="2"/>
  <c r="AH4747" i="2"/>
  <c r="AI4747" i="2"/>
  <c r="AJ4747" i="2"/>
  <c r="AF4748" i="2"/>
  <c r="AK4748" i="2"/>
  <c r="AG4748" i="2"/>
  <c r="AH4748" i="2"/>
  <c r="AI4748" i="2"/>
  <c r="AJ4748" i="2"/>
  <c r="AF4749" i="2"/>
  <c r="AK4749" i="2"/>
  <c r="AG4749" i="2"/>
  <c r="AL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H4754" i="2"/>
  <c r="AL4754" i="2" s="1"/>
  <c r="AI4754" i="2"/>
  <c r="AJ4754" i="2"/>
  <c r="AF4755" i="2"/>
  <c r="AK4755" i="2" s="1"/>
  <c r="AL4755" i="2" s="1"/>
  <c r="AG4755" i="2"/>
  <c r="AH4755" i="2"/>
  <c r="AI4755" i="2"/>
  <c r="AJ4755" i="2"/>
  <c r="AF4756" i="2"/>
  <c r="AK4756" i="2"/>
  <c r="AG4756" i="2"/>
  <c r="AH4756" i="2"/>
  <c r="AI4756" i="2"/>
  <c r="AJ4756" i="2"/>
  <c r="AF4757" i="2"/>
  <c r="AK4757" i="2"/>
  <c r="AG4757" i="2"/>
  <c r="AL4757" i="2" s="1"/>
  <c r="AH4757" i="2"/>
  <c r="AI4757" i="2"/>
  <c r="AJ4757" i="2"/>
  <c r="AF4758" i="2"/>
  <c r="AK4758" i="2" s="1"/>
  <c r="AG4758" i="2"/>
  <c r="AH4758" i="2"/>
  <c r="AI4758" i="2"/>
  <c r="AJ4758" i="2"/>
  <c r="AF4759" i="2"/>
  <c r="AK4759" i="2" s="1"/>
  <c r="AG4759" i="2"/>
  <c r="AH4759" i="2"/>
  <c r="AI4759" i="2"/>
  <c r="AJ4759" i="2"/>
  <c r="AF4760" i="2"/>
  <c r="AK4760" i="2" s="1"/>
  <c r="AG4760" i="2"/>
  <c r="AH4760" i="2"/>
  <c r="AI4760" i="2"/>
  <c r="AJ4760" i="2"/>
  <c r="AF4761" i="2"/>
  <c r="AK4761" i="2"/>
  <c r="AG4761" i="2"/>
  <c r="AH4761" i="2"/>
  <c r="AI4761" i="2"/>
  <c r="AL4761" i="2" s="1"/>
  <c r="AJ4761" i="2"/>
  <c r="AF4762" i="2"/>
  <c r="AK4762" i="2" s="1"/>
  <c r="AG4762" i="2"/>
  <c r="AL4762" i="2" s="1"/>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L4765" i="2" s="1"/>
  <c r="AJ4765" i="2"/>
  <c r="AF4766" i="2"/>
  <c r="AK4766" i="2" s="1"/>
  <c r="AG4766" i="2"/>
  <c r="AH4766" i="2"/>
  <c r="AI4766" i="2"/>
  <c r="AJ4766" i="2"/>
  <c r="AF4767" i="2"/>
  <c r="AK4767" i="2" s="1"/>
  <c r="AL4767" i="2" s="1"/>
  <c r="AG4767" i="2"/>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G4774" i="2"/>
  <c r="AH4774" i="2"/>
  <c r="AI4774" i="2"/>
  <c r="AJ4774" i="2"/>
  <c r="AF4775" i="2"/>
  <c r="AK4775" i="2"/>
  <c r="AG4775" i="2"/>
  <c r="AL4775" i="2" s="1"/>
  <c r="AH4775" i="2"/>
  <c r="AI4775" i="2"/>
  <c r="AJ4775" i="2"/>
  <c r="AF4776" i="2"/>
  <c r="AK4776" i="2" s="1"/>
  <c r="AG4776" i="2"/>
  <c r="AH4776" i="2"/>
  <c r="AI4776" i="2"/>
  <c r="AJ4776" i="2"/>
  <c r="AF4777" i="2"/>
  <c r="AK4777" i="2"/>
  <c r="AG4777" i="2"/>
  <c r="AL4777" i="2" s="1"/>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L4781" i="2" s="1"/>
  <c r="AG4781" i="2"/>
  <c r="AH4781" i="2"/>
  <c r="AI4781" i="2"/>
  <c r="AJ4781" i="2"/>
  <c r="AF4782" i="2"/>
  <c r="AK4782" i="2"/>
  <c r="AG4782" i="2"/>
  <c r="AL4782" i="2" s="1"/>
  <c r="AH4782" i="2"/>
  <c r="AI4782" i="2"/>
  <c r="AJ4782" i="2"/>
  <c r="AF4783" i="2"/>
  <c r="AK4783" i="2" s="1"/>
  <c r="AG4783" i="2"/>
  <c r="AH4783" i="2"/>
  <c r="AI4783" i="2"/>
  <c r="AJ4783" i="2"/>
  <c r="AF4784" i="2"/>
  <c r="AK4784" i="2"/>
  <c r="AG4784" i="2"/>
  <c r="AH4784" i="2"/>
  <c r="AL4784" i="2" s="1"/>
  <c r="AI4784" i="2"/>
  <c r="AJ4784" i="2"/>
  <c r="AF4785" i="2"/>
  <c r="AK4785" i="2" s="1"/>
  <c r="AG4785" i="2"/>
  <c r="AH4785" i="2"/>
  <c r="AI4785" i="2"/>
  <c r="AJ4785" i="2"/>
  <c r="AF4786" i="2"/>
  <c r="AK4786" i="2" s="1"/>
  <c r="AL4786" i="2" s="1"/>
  <c r="AG4786" i="2"/>
  <c r="AH4786" i="2"/>
  <c r="AI4786" i="2"/>
  <c r="AJ4786" i="2"/>
  <c r="AF4787" i="2"/>
  <c r="AK4787" i="2" s="1"/>
  <c r="AG4787" i="2"/>
  <c r="AH4787" i="2"/>
  <c r="AL4787" i="2" s="1"/>
  <c r="AI4787" i="2"/>
  <c r="AJ4787" i="2"/>
  <c r="AF4788" i="2"/>
  <c r="AK4788" i="2"/>
  <c r="AG4788" i="2"/>
  <c r="AH4788" i="2"/>
  <c r="AL4788" i="2" s="1"/>
  <c r="AI4788" i="2"/>
  <c r="AJ4788" i="2"/>
  <c r="AF4789" i="2"/>
  <c r="AK4789" i="2" s="1"/>
  <c r="AL4789" i="2" s="1"/>
  <c r="AG4789" i="2"/>
  <c r="AH4789" i="2"/>
  <c r="AI4789" i="2"/>
  <c r="AJ4789" i="2"/>
  <c r="AF4790" i="2"/>
  <c r="AK4790" i="2" s="1"/>
  <c r="AG4790" i="2"/>
  <c r="AL4790" i="2" s="1"/>
  <c r="AH4790" i="2"/>
  <c r="AI4790" i="2"/>
  <c r="AJ4790" i="2"/>
  <c r="AF4791" i="2"/>
  <c r="AK4791" i="2"/>
  <c r="AG4791" i="2"/>
  <c r="AH4791" i="2"/>
  <c r="AI4791" i="2"/>
  <c r="AL4791" i="2" s="1"/>
  <c r="AJ4791" i="2"/>
  <c r="AF4792" i="2"/>
  <c r="AK4792" i="2" s="1"/>
  <c r="AG4792" i="2"/>
  <c r="AH4792" i="2"/>
  <c r="AI4792" i="2"/>
  <c r="AJ4792" i="2"/>
  <c r="AF4793" i="2"/>
  <c r="AK4793" i="2"/>
  <c r="AG4793" i="2"/>
  <c r="AL4793" i="2" s="1"/>
  <c r="AH4793" i="2"/>
  <c r="AI4793" i="2"/>
  <c r="AJ4793" i="2"/>
  <c r="AF4794" i="2"/>
  <c r="AK4794" i="2" s="1"/>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s="1"/>
  <c r="AL4801" i="2" s="1"/>
  <c r="AG4801" i="2"/>
  <c r="AH4801" i="2"/>
  <c r="AI4801" i="2"/>
  <c r="AJ4801" i="2"/>
  <c r="AF4802" i="2"/>
  <c r="AK4802" i="2"/>
  <c r="AG4802" i="2"/>
  <c r="AH4802" i="2"/>
  <c r="AI4802" i="2"/>
  <c r="AJ4802" i="2"/>
  <c r="AF4803" i="2"/>
  <c r="AK4803" i="2"/>
  <c r="AG4803" i="2"/>
  <c r="AL4803" i="2" s="1"/>
  <c r="AH4803" i="2"/>
  <c r="AI4803" i="2"/>
  <c r="AJ4803" i="2"/>
  <c r="AF4804" i="2"/>
  <c r="AK4804" i="2" s="1"/>
  <c r="AL4804" i="2" s="1"/>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L4808" i="2"/>
  <c r="AH4808" i="2"/>
  <c r="AI4808" i="2"/>
  <c r="AJ4808" i="2"/>
  <c r="AF4809" i="2"/>
  <c r="AK4809" i="2" s="1"/>
  <c r="AG4809" i="2"/>
  <c r="AL4809" i="2" s="1"/>
  <c r="AH4809" i="2"/>
  <c r="AI4809" i="2"/>
  <c r="AJ4809" i="2"/>
  <c r="AF4810" i="2"/>
  <c r="AK4810" i="2"/>
  <c r="AG4810" i="2"/>
  <c r="AH4810" i="2"/>
  <c r="AI4810" i="2"/>
  <c r="AL4810" i="2" s="1"/>
  <c r="AJ4810" i="2"/>
  <c r="AF4811" i="2"/>
  <c r="AK4811" i="2" s="1"/>
  <c r="AG4811" i="2"/>
  <c r="AH4811" i="2"/>
  <c r="AI4811" i="2"/>
  <c r="AJ4811" i="2"/>
  <c r="AF4812" i="2"/>
  <c r="AK4812" i="2" s="1"/>
  <c r="AL4812" i="2" s="1"/>
  <c r="AG4812" i="2"/>
  <c r="AH4812" i="2"/>
  <c r="AI4812" i="2"/>
  <c r="AJ4812" i="2"/>
  <c r="AF4813" i="2"/>
  <c r="AK4813" i="2"/>
  <c r="AG4813" i="2"/>
  <c r="AH4813" i="2"/>
  <c r="AI4813" i="2"/>
  <c r="AJ4813" i="2"/>
  <c r="AF4814" i="2"/>
  <c r="AK4814" i="2"/>
  <c r="AG4814" i="2"/>
  <c r="AL4814" i="2" s="1"/>
  <c r="AH4814" i="2"/>
  <c r="AI4814" i="2"/>
  <c r="AJ4814" i="2"/>
  <c r="AF4815" i="2"/>
  <c r="AK4815" i="2" s="1"/>
  <c r="AG4815" i="2"/>
  <c r="AH4815" i="2"/>
  <c r="AL4815" i="2" s="1"/>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H4820" i="2"/>
  <c r="AI4820" i="2"/>
  <c r="AL4820" i="2" s="1"/>
  <c r="AJ4820" i="2"/>
  <c r="AF4821" i="2"/>
  <c r="AK4821" i="2" s="1"/>
  <c r="AG4821" i="2"/>
  <c r="AH4821" i="2"/>
  <c r="AI4821" i="2"/>
  <c r="AJ4821" i="2"/>
  <c r="AF4822" i="2"/>
  <c r="AK4822" i="2" s="1"/>
  <c r="AG4822" i="2"/>
  <c r="AH4822" i="2"/>
  <c r="AI4822" i="2"/>
  <c r="AJ4822" i="2"/>
  <c r="AF4823" i="2"/>
  <c r="AK4823" i="2"/>
  <c r="AG4823" i="2"/>
  <c r="AH4823" i="2"/>
  <c r="AI4823" i="2"/>
  <c r="AL4823" i="2" s="1"/>
  <c r="AJ4823" i="2"/>
  <c r="AF4824" i="2"/>
  <c r="AK4824" i="2" s="1"/>
  <c r="AG4824" i="2"/>
  <c r="AH4824" i="2"/>
  <c r="AI4824" i="2"/>
  <c r="AJ4824" i="2"/>
  <c r="AF4825" i="2"/>
  <c r="AK4825" i="2" s="1"/>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F4830" i="2"/>
  <c r="AK4830" i="2"/>
  <c r="AG4830" i="2"/>
  <c r="AL4830" i="2"/>
  <c r="AH4830" i="2"/>
  <c r="AI4830" i="2"/>
  <c r="AJ4830" i="2"/>
  <c r="AF4831" i="2"/>
  <c r="AK4831" i="2" s="1"/>
  <c r="AG4831" i="2"/>
  <c r="AH4831" i="2"/>
  <c r="AI4831" i="2"/>
  <c r="AJ4831" i="2"/>
  <c r="AF4832" i="2"/>
  <c r="AK4832" i="2"/>
  <c r="AG4832" i="2"/>
  <c r="AH4832" i="2"/>
  <c r="AI4832" i="2"/>
  <c r="AL4832" i="2" s="1"/>
  <c r="AJ4832" i="2"/>
  <c r="AF4833" i="2"/>
  <c r="AK4833" i="2" s="1"/>
  <c r="AG4833" i="2"/>
  <c r="AL4833" i="2" s="1"/>
  <c r="AH4833" i="2"/>
  <c r="AI4833" i="2"/>
  <c r="AJ4833" i="2"/>
  <c r="AF4834" i="2"/>
  <c r="AK4834" i="2"/>
  <c r="AG4834" i="2"/>
  <c r="AL4834" i="2" s="1"/>
  <c r="AH4834" i="2"/>
  <c r="AI4834" i="2"/>
  <c r="AJ4834" i="2"/>
  <c r="AF4835" i="2"/>
  <c r="AK4835" i="2" s="1"/>
  <c r="AG4835" i="2"/>
  <c r="AH4835" i="2"/>
  <c r="AI4835" i="2"/>
  <c r="AJ4835" i="2"/>
  <c r="AF4836" i="2"/>
  <c r="AK4836" i="2" s="1"/>
  <c r="AG4836" i="2"/>
  <c r="AH4836" i="2"/>
  <c r="AI4836" i="2"/>
  <c r="AJ4836" i="2"/>
  <c r="AF4837" i="2"/>
  <c r="AK4837" i="2" s="1"/>
  <c r="AL4837" i="2" s="1"/>
  <c r="AG4837" i="2"/>
  <c r="AH4837" i="2"/>
  <c r="AI4837" i="2"/>
  <c r="AJ4837" i="2"/>
  <c r="AF4838" i="2"/>
  <c r="AK4838" i="2" s="1"/>
  <c r="AG4838" i="2"/>
  <c r="AL4838" i="2" s="1"/>
  <c r="AH4838" i="2"/>
  <c r="AI4838" i="2"/>
  <c r="AJ4838" i="2"/>
  <c r="AF4839" i="2"/>
  <c r="AK4839" i="2"/>
  <c r="AG4839" i="2"/>
  <c r="AL4839" i="2" s="1"/>
  <c r="AH4839" i="2"/>
  <c r="AI4839" i="2"/>
  <c r="AJ4839" i="2"/>
  <c r="AF4840" i="2"/>
  <c r="AK4840" i="2" s="1"/>
  <c r="AG4840" i="2"/>
  <c r="AH4840" i="2"/>
  <c r="AI4840" i="2"/>
  <c r="AJ4840" i="2"/>
  <c r="AF4841" i="2"/>
  <c r="AK4841" i="2" s="1"/>
  <c r="AG4841" i="2"/>
  <c r="AL4841" i="2" s="1"/>
  <c r="AH4841" i="2"/>
  <c r="AI4841" i="2"/>
  <c r="AJ4841" i="2"/>
  <c r="AF4842" i="2"/>
  <c r="AK4842" i="2"/>
  <c r="AG4842" i="2"/>
  <c r="AH4842" i="2"/>
  <c r="AL4842" i="2" s="1"/>
  <c r="AI4842" i="2"/>
  <c r="AJ4842" i="2"/>
  <c r="AF4843" i="2"/>
  <c r="AK4843" i="2" s="1"/>
  <c r="AL4843" i="2" s="1"/>
  <c r="AG4843" i="2"/>
  <c r="AH4843" i="2"/>
  <c r="AI4843" i="2"/>
  <c r="AJ4843" i="2"/>
  <c r="AF4844" i="2"/>
  <c r="AK4844" i="2" s="1"/>
  <c r="AG4844" i="2"/>
  <c r="AL4844" i="2" s="1"/>
  <c r="AH4844" i="2"/>
  <c r="AI4844" i="2"/>
  <c r="AJ4844" i="2"/>
  <c r="AF4845" i="2"/>
  <c r="AK4845" i="2"/>
  <c r="AG4845" i="2"/>
  <c r="AL4845" i="2"/>
  <c r="AH4845" i="2"/>
  <c r="AI4845" i="2"/>
  <c r="AJ4845" i="2"/>
  <c r="AF4846" i="2"/>
  <c r="AK4846" i="2" s="1"/>
  <c r="AG4846" i="2"/>
  <c r="AH4846" i="2"/>
  <c r="AI4846" i="2"/>
  <c r="AL4846" i="2" s="1"/>
  <c r="AJ4846" i="2"/>
  <c r="AF4847" i="2"/>
  <c r="AK4847" i="2"/>
  <c r="AG4847" i="2"/>
  <c r="AH4847" i="2"/>
  <c r="AL4847" i="2" s="1"/>
  <c r="AI4847" i="2"/>
  <c r="AJ4847" i="2"/>
  <c r="AF4848" i="2"/>
  <c r="AK4848" i="2" s="1"/>
  <c r="AG4848" i="2"/>
  <c r="AH4848" i="2"/>
  <c r="AI4848" i="2"/>
  <c r="AJ4848" i="2"/>
  <c r="AF4849" i="2"/>
  <c r="AK4849" i="2" s="1"/>
  <c r="AG4849" i="2"/>
  <c r="AH4849" i="2"/>
  <c r="AL4849" i="2" s="1"/>
  <c r="AI4849" i="2"/>
  <c r="AJ4849" i="2"/>
  <c r="AF4850" i="2"/>
  <c r="AK4850" i="2"/>
  <c r="AG4850" i="2"/>
  <c r="AH4850" i="2"/>
  <c r="AI4850" i="2"/>
  <c r="AJ4850" i="2"/>
  <c r="AF4851" i="2"/>
  <c r="AK4851" i="2"/>
  <c r="AG4851" i="2"/>
  <c r="AL4851" i="2"/>
  <c r="AH4851" i="2"/>
  <c r="AI4851" i="2"/>
  <c r="AJ4851" i="2"/>
  <c r="AF4852" i="2"/>
  <c r="AK4852" i="2" s="1"/>
  <c r="AG4852" i="2"/>
  <c r="AH4852" i="2"/>
  <c r="AI4852" i="2"/>
  <c r="AL4852" i="2" s="1"/>
  <c r="AJ4852" i="2"/>
  <c r="AF4853" i="2"/>
  <c r="AK4853" i="2"/>
  <c r="AG4853" i="2"/>
  <c r="AH4853" i="2"/>
  <c r="AI4853" i="2"/>
  <c r="AJ4853" i="2"/>
  <c r="AF4854" i="2"/>
  <c r="AK4854" i="2"/>
  <c r="AG4854" i="2"/>
  <c r="AL4854" i="2"/>
  <c r="AH4854" i="2"/>
  <c r="AI4854" i="2"/>
  <c r="AJ4854" i="2"/>
  <c r="AF4855" i="2"/>
  <c r="AK4855" i="2" s="1"/>
  <c r="AG4855" i="2"/>
  <c r="AL4855" i="2" s="1"/>
  <c r="AH4855" i="2"/>
  <c r="AI4855" i="2"/>
  <c r="AJ4855" i="2"/>
  <c r="AF4856" i="2"/>
  <c r="AK4856" i="2"/>
  <c r="AG4856" i="2"/>
  <c r="AH4856" i="2"/>
  <c r="AI4856" i="2"/>
  <c r="AJ4856" i="2"/>
  <c r="AF4857" i="2"/>
  <c r="AK4857" i="2"/>
  <c r="AG4857" i="2"/>
  <c r="AL4857" i="2"/>
  <c r="AH4857" i="2"/>
  <c r="AI4857" i="2"/>
  <c r="AJ4857" i="2"/>
  <c r="AF4858" i="2"/>
  <c r="AK4858" i="2" s="1"/>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L4862" i="2" s="1"/>
  <c r="AH4862" i="2"/>
  <c r="AI4862" i="2"/>
  <c r="AJ4862" i="2"/>
  <c r="AF4863" i="2"/>
  <c r="AK4863" i="2"/>
  <c r="AG4863" i="2"/>
  <c r="AL4863" i="2" s="1"/>
  <c r="AH4863" i="2"/>
  <c r="AI4863" i="2"/>
  <c r="AJ4863" i="2"/>
  <c r="AF4864" i="2"/>
  <c r="AK4864" i="2" s="1"/>
  <c r="AG4864" i="2"/>
  <c r="AH4864" i="2"/>
  <c r="AI4864" i="2"/>
  <c r="AJ4864" i="2"/>
  <c r="AF4865" i="2"/>
  <c r="AK4865" i="2"/>
  <c r="AG4865" i="2"/>
  <c r="AH4865" i="2"/>
  <c r="AL4865" i="2" s="1"/>
  <c r="AI4865" i="2"/>
  <c r="AJ4865" i="2"/>
  <c r="AF4866" i="2"/>
  <c r="AK4866" i="2" s="1"/>
  <c r="AG4866" i="2"/>
  <c r="AL4866" i="2" s="1"/>
  <c r="AH4866" i="2"/>
  <c r="AI4866" i="2"/>
  <c r="AJ4866" i="2"/>
  <c r="AF4867" i="2"/>
  <c r="AK4867" i="2"/>
  <c r="AG4867" i="2"/>
  <c r="AL4867" i="2" s="1"/>
  <c r="AH4867" i="2"/>
  <c r="AI4867" i="2"/>
  <c r="AJ4867" i="2"/>
  <c r="AF4868" i="2"/>
  <c r="AK4868" i="2" s="1"/>
  <c r="AG4868" i="2"/>
  <c r="AH4868" i="2"/>
  <c r="AI4868" i="2"/>
  <c r="AJ4868" i="2"/>
  <c r="AF4869" i="2"/>
  <c r="AK4869" i="2"/>
  <c r="AG4869" i="2"/>
  <c r="AH4869" i="2"/>
  <c r="AI4869" i="2"/>
  <c r="AL4869" i="2" s="1"/>
  <c r="AJ4869" i="2"/>
  <c r="AF4870" i="2"/>
  <c r="AK4870" i="2" s="1"/>
  <c r="AG4870" i="2"/>
  <c r="AL4870" i="2" s="1"/>
  <c r="AH4870" i="2"/>
  <c r="AI4870" i="2"/>
  <c r="AJ4870" i="2"/>
  <c r="AF4871" i="2"/>
  <c r="AK4871" i="2"/>
  <c r="AG4871" i="2"/>
  <c r="AH4871" i="2"/>
  <c r="AI4871" i="2"/>
  <c r="AJ4871" i="2"/>
  <c r="AF4872" i="2"/>
  <c r="AK4872" i="2"/>
  <c r="AG4872" i="2"/>
  <c r="AH4872" i="2"/>
  <c r="AI4872" i="2"/>
  <c r="AJ4872" i="2"/>
  <c r="AF4873" i="2"/>
  <c r="AK4873" i="2"/>
  <c r="AG4873" i="2"/>
  <c r="AL4873" i="2"/>
  <c r="AH4873" i="2"/>
  <c r="AI4873" i="2"/>
  <c r="AJ4873" i="2"/>
  <c r="AF4874" i="2"/>
  <c r="AK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L4879" i="2" s="1"/>
  <c r="AG4879" i="2"/>
  <c r="AH4879" i="2"/>
  <c r="AI4879" i="2"/>
  <c r="AJ4879" i="2"/>
  <c r="AF4880" i="2"/>
  <c r="AK4880" i="2" s="1"/>
  <c r="AG4880" i="2"/>
  <c r="AL4880" i="2" s="1"/>
  <c r="AH4880" i="2"/>
  <c r="AI4880" i="2"/>
  <c r="AJ4880" i="2"/>
  <c r="AF4881" i="2"/>
  <c r="AK4881" i="2"/>
  <c r="AG4881" i="2"/>
  <c r="AL4881" i="2" s="1"/>
  <c r="AH4881" i="2"/>
  <c r="AI4881" i="2"/>
  <c r="AJ4881" i="2"/>
  <c r="AF4882" i="2"/>
  <c r="AK4882" i="2" s="1"/>
  <c r="AG4882" i="2"/>
  <c r="AH4882" i="2"/>
  <c r="AI4882" i="2"/>
  <c r="AJ4882" i="2"/>
  <c r="AF4883" i="2"/>
  <c r="AK4883" i="2"/>
  <c r="AG4883" i="2"/>
  <c r="AH4883" i="2"/>
  <c r="AL4883" i="2" s="1"/>
  <c r="AI4883" i="2"/>
  <c r="AJ4883" i="2"/>
  <c r="AF4884" i="2"/>
  <c r="AK4884" i="2" s="1"/>
  <c r="AG4884" i="2"/>
  <c r="AH4884" i="2"/>
  <c r="AI4884" i="2"/>
  <c r="AJ4884" i="2"/>
  <c r="AF4885" i="2"/>
  <c r="AK4885" i="2" s="1"/>
  <c r="AL4885" i="2" s="1"/>
  <c r="AG4885" i="2"/>
  <c r="AH4885" i="2"/>
  <c r="AI4885" i="2"/>
  <c r="AJ4885" i="2"/>
  <c r="AF4886" i="2"/>
  <c r="AK4886" i="2" s="1"/>
  <c r="AG4886" i="2"/>
  <c r="AL4886" i="2" s="1"/>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L4889" i="2"/>
  <c r="AJ4889" i="2"/>
  <c r="AF4890" i="2"/>
  <c r="AK4890" i="2" s="1"/>
  <c r="AG4890" i="2"/>
  <c r="AH4890" i="2"/>
  <c r="AI4890" i="2"/>
  <c r="AJ4890" i="2"/>
  <c r="AF4891" i="2"/>
  <c r="AK4891" i="2" s="1"/>
  <c r="AG4891" i="2"/>
  <c r="AH4891" i="2"/>
  <c r="AL4891" i="2" s="1"/>
  <c r="AI4891" i="2"/>
  <c r="AJ4891" i="2"/>
  <c r="AF4892" i="2"/>
  <c r="AK4892" i="2"/>
  <c r="AG4892" i="2"/>
  <c r="AH4892" i="2"/>
  <c r="AI4892" i="2"/>
  <c r="AJ4892" i="2"/>
  <c r="AF4893" i="2"/>
  <c r="AK4893" i="2"/>
  <c r="AG4893" i="2"/>
  <c r="AL4893" i="2"/>
  <c r="AH4893" i="2"/>
  <c r="AI4893" i="2"/>
  <c r="AJ4893" i="2"/>
  <c r="AF4894" i="2"/>
  <c r="AK4894" i="2" s="1"/>
  <c r="AG4894" i="2"/>
  <c r="AH4894" i="2"/>
  <c r="AI4894" i="2"/>
  <c r="AJ4894" i="2"/>
  <c r="AF4895" i="2"/>
  <c r="AK4895" i="2" s="1"/>
  <c r="AL4895" i="2" s="1"/>
  <c r="AG4895" i="2"/>
  <c r="AH4895" i="2"/>
  <c r="AI4895" i="2"/>
  <c r="AJ4895" i="2"/>
  <c r="AF4896" i="2"/>
  <c r="AK4896" i="2" s="1"/>
  <c r="AG4896" i="2"/>
  <c r="AH4896" i="2"/>
  <c r="AI4896" i="2"/>
  <c r="AJ4896" i="2"/>
  <c r="AF4897" i="2"/>
  <c r="AK4897" i="2" s="1"/>
  <c r="AG4897" i="2"/>
  <c r="AH4897" i="2"/>
  <c r="AI4897" i="2"/>
  <c r="AJ4897" i="2"/>
  <c r="AF4898" i="2"/>
  <c r="AK4898" i="2"/>
  <c r="AG4898" i="2"/>
  <c r="AL4898" i="2"/>
  <c r="AH4898" i="2"/>
  <c r="AI4898" i="2"/>
  <c r="AJ4898" i="2"/>
  <c r="AF4899" i="2"/>
  <c r="AK4899" i="2" s="1"/>
  <c r="AG4899" i="2"/>
  <c r="AH4899" i="2"/>
  <c r="AI4899" i="2"/>
  <c r="AJ4899" i="2"/>
  <c r="AF4900" i="2"/>
  <c r="AK4900" i="2"/>
  <c r="AG4900" i="2"/>
  <c r="AH4900" i="2"/>
  <c r="AI4900" i="2"/>
  <c r="AJ4900" i="2"/>
  <c r="AF4901" i="2"/>
  <c r="AK4901" i="2"/>
  <c r="AG4901" i="2"/>
  <c r="AL4901" i="2" s="1"/>
  <c r="AH4901" i="2"/>
  <c r="AI4901" i="2"/>
  <c r="AJ4901" i="2"/>
  <c r="AF4902" i="2"/>
  <c r="AK4902" i="2" s="1"/>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L4907" i="2" s="1"/>
  <c r="AI4907" i="2"/>
  <c r="AJ4907" i="2"/>
  <c r="AF4908" i="2"/>
  <c r="AK4908" i="2" s="1"/>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c r="AG4919" i="2"/>
  <c r="AH4919" i="2"/>
  <c r="AL4919" i="2" s="1"/>
  <c r="AI4919" i="2"/>
  <c r="AJ4919" i="2"/>
  <c r="AF4920" i="2"/>
  <c r="AK4920" i="2" s="1"/>
  <c r="AG4920" i="2"/>
  <c r="AH4920" i="2"/>
  <c r="AI4920" i="2"/>
  <c r="AJ4920" i="2"/>
  <c r="AF4921" i="2"/>
  <c r="AK4921" i="2" s="1"/>
  <c r="AG4921" i="2"/>
  <c r="AH4921" i="2"/>
  <c r="AI4921" i="2"/>
  <c r="AJ4921" i="2"/>
  <c r="AF4922" i="2"/>
  <c r="AK4922" i="2" s="1"/>
  <c r="AG4922" i="2"/>
  <c r="AL4922" i="2" s="1"/>
  <c r="AH4922" i="2"/>
  <c r="AI4922" i="2"/>
  <c r="AJ4922" i="2"/>
  <c r="AF4923" i="2"/>
  <c r="AK4923" i="2"/>
  <c r="AG4923" i="2"/>
  <c r="AH4923" i="2"/>
  <c r="AI4923" i="2"/>
  <c r="AJ4923" i="2"/>
  <c r="AF4924" i="2"/>
  <c r="AK4924" i="2"/>
  <c r="AG4924" i="2"/>
  <c r="AH4924" i="2"/>
  <c r="AL4924" i="2" s="1"/>
  <c r="AI4924" i="2"/>
  <c r="AJ4924" i="2"/>
  <c r="AF4925" i="2"/>
  <c r="AK4925" i="2" s="1"/>
  <c r="AG4925" i="2"/>
  <c r="AH4925" i="2"/>
  <c r="AI4925" i="2"/>
  <c r="AJ4925" i="2"/>
  <c r="AF4926" i="2"/>
  <c r="AK4926" i="2" s="1"/>
  <c r="AG4926" i="2"/>
  <c r="AH4926" i="2"/>
  <c r="AI4926" i="2"/>
  <c r="AJ4926" i="2"/>
  <c r="AF4927" i="2"/>
  <c r="AK4927" i="2" s="1"/>
  <c r="AG4927" i="2"/>
  <c r="AH4927" i="2"/>
  <c r="AI4927" i="2"/>
  <c r="AJ4927" i="2"/>
  <c r="AL4927" i="2" s="1"/>
  <c r="AF4928" i="2"/>
  <c r="AK4928" i="2"/>
  <c r="AG4928" i="2"/>
  <c r="AL4928" i="2" s="1"/>
  <c r="AH4928" i="2"/>
  <c r="AI4928" i="2"/>
  <c r="AJ4928" i="2"/>
  <c r="AF4929" i="2"/>
  <c r="AK4929" i="2" s="1"/>
  <c r="AG4929" i="2"/>
  <c r="AH4929" i="2"/>
  <c r="AI4929" i="2"/>
  <c r="AJ4929" i="2"/>
  <c r="AF4930" i="2"/>
  <c r="AK4930" i="2" s="1"/>
  <c r="AL4930" i="2" s="1"/>
  <c r="AG4930" i="2"/>
  <c r="AH4930" i="2"/>
  <c r="AI4930" i="2"/>
  <c r="AJ4930" i="2"/>
  <c r="AF4931" i="2"/>
  <c r="AK4931" i="2"/>
  <c r="AG4931" i="2"/>
  <c r="AH4931" i="2"/>
  <c r="AI4931" i="2"/>
  <c r="AJ4931" i="2"/>
  <c r="AF4932" i="2"/>
  <c r="AK4932" i="2"/>
  <c r="AG4932" i="2"/>
  <c r="AH4932" i="2"/>
  <c r="AI4932" i="2"/>
  <c r="AJ4932" i="2"/>
  <c r="AF4933" i="2"/>
  <c r="AK4933" i="2" s="1"/>
  <c r="AG4933" i="2"/>
  <c r="AL4933" i="2" s="1"/>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L4941" i="2" s="1"/>
  <c r="AH4941" i="2"/>
  <c r="AI4941" i="2"/>
  <c r="AJ4941" i="2"/>
  <c r="AF4942" i="2"/>
  <c r="AK4942" i="2"/>
  <c r="AG4942" i="2"/>
  <c r="AH4942" i="2"/>
  <c r="AI4942" i="2"/>
  <c r="AL4942" i="2" s="1"/>
  <c r="AJ4942" i="2"/>
  <c r="AF4943" i="2"/>
  <c r="AK4943" i="2" s="1"/>
  <c r="AG4943" i="2"/>
  <c r="AH4943" i="2"/>
  <c r="AI4943" i="2"/>
  <c r="AJ4943" i="2"/>
  <c r="AF4944" i="2"/>
  <c r="AK4944" i="2" s="1"/>
  <c r="AG4944" i="2"/>
  <c r="AH4944" i="2"/>
  <c r="AI4944" i="2"/>
  <c r="AL4944" i="2" s="1"/>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L4950" i="2"/>
  <c r="AJ4950" i="2"/>
  <c r="AF4951" i="2"/>
  <c r="AK4951" i="2" s="1"/>
  <c r="AG4951" i="2"/>
  <c r="AL4951" i="2" s="1"/>
  <c r="AH4951" i="2"/>
  <c r="AI4951" i="2"/>
  <c r="AJ4951" i="2"/>
  <c r="AF4952" i="2"/>
  <c r="AK4952" i="2" s="1"/>
  <c r="AG4952" i="2"/>
  <c r="AH4952" i="2"/>
  <c r="AI4952" i="2"/>
  <c r="AJ4952" i="2"/>
  <c r="AL4952" i="2" s="1"/>
  <c r="AF4953" i="2"/>
  <c r="AK4953" i="2" s="1"/>
  <c r="AG4953" i="2"/>
  <c r="AH4953" i="2"/>
  <c r="AI4953" i="2"/>
  <c r="AJ4953" i="2"/>
  <c r="AF4954" i="2"/>
  <c r="AK4954" i="2" s="1"/>
  <c r="AG4954" i="2"/>
  <c r="AH4954" i="2"/>
  <c r="AI4954" i="2"/>
  <c r="AJ4954" i="2"/>
  <c r="AF4955" i="2"/>
  <c r="AK4955" i="2"/>
  <c r="AG4955" i="2"/>
  <c r="AH4955" i="2"/>
  <c r="AI4955" i="2"/>
  <c r="AJ4955" i="2"/>
  <c r="AL4955" i="2" s="1"/>
  <c r="AF4956" i="2"/>
  <c r="AK4956" i="2"/>
  <c r="AG4956" i="2"/>
  <c r="AH4956" i="2"/>
  <c r="AL4956" i="2" s="1"/>
  <c r="AI4956" i="2"/>
  <c r="AJ4956" i="2"/>
  <c r="AF4957" i="2"/>
  <c r="AK4957" i="2"/>
  <c r="AG4957" i="2"/>
  <c r="AH4957" i="2"/>
  <c r="AI4957" i="2"/>
  <c r="AJ4957" i="2"/>
  <c r="AF4958" i="2"/>
  <c r="AK4958" i="2" s="1"/>
  <c r="AG4958" i="2"/>
  <c r="AH4958" i="2"/>
  <c r="AI4958" i="2"/>
  <c r="AJ4958" i="2"/>
  <c r="AF4959" i="2"/>
  <c r="AK4959" i="2" s="1"/>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c r="AG4963" i="2"/>
  <c r="AL4963" i="2"/>
  <c r="AH4963" i="2"/>
  <c r="AI4963" i="2"/>
  <c r="AJ4963" i="2"/>
  <c r="AF4964" i="2"/>
  <c r="AK4964" i="2" s="1"/>
  <c r="AG4964" i="2"/>
  <c r="AH4964" i="2"/>
  <c r="AI4964" i="2"/>
  <c r="AJ4964" i="2"/>
  <c r="AF4965" i="2"/>
  <c r="AK4965" i="2" s="1"/>
  <c r="AL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L4969" i="2" s="1"/>
  <c r="AI4969" i="2"/>
  <c r="AJ4969" i="2"/>
  <c r="AF4970" i="2"/>
  <c r="AK4970" i="2"/>
  <c r="AG4970" i="2"/>
  <c r="AH4970" i="2"/>
  <c r="AI4970" i="2"/>
  <c r="AJ4970" i="2"/>
  <c r="AF4971" i="2"/>
  <c r="AK4971" i="2" s="1"/>
  <c r="AG4971" i="2"/>
  <c r="AL4971" i="2" s="1"/>
  <c r="AH4971" i="2"/>
  <c r="AI4971" i="2"/>
  <c r="AJ4971" i="2"/>
  <c r="AF4972" i="2"/>
  <c r="AK4972" i="2"/>
  <c r="AG4972" i="2"/>
  <c r="AL4972" i="2" s="1"/>
  <c r="AH4972" i="2"/>
  <c r="AI4972" i="2"/>
  <c r="AJ4972" i="2"/>
  <c r="AF4973" i="2"/>
  <c r="AK4973" i="2" s="1"/>
  <c r="AL4973" i="2" s="1"/>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L4976" i="2" s="1"/>
  <c r="AF4977" i="2"/>
  <c r="AK4977" i="2"/>
  <c r="AG4977" i="2"/>
  <c r="AL4977" i="2"/>
  <c r="AH4977" i="2"/>
  <c r="AI4977" i="2"/>
  <c r="AJ4977" i="2"/>
  <c r="AF4978" i="2"/>
  <c r="AK4978" i="2" s="1"/>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L4983" i="2" s="1"/>
  <c r="AH4983" i="2"/>
  <c r="AI4983" i="2"/>
  <c r="AJ4983" i="2"/>
  <c r="AF4984" i="2"/>
  <c r="AK4984" i="2"/>
  <c r="AG4984" i="2"/>
  <c r="AH4984" i="2"/>
  <c r="AI4984" i="2"/>
  <c r="AL4984" i="2" s="1"/>
  <c r="AJ4984" i="2"/>
  <c r="AF4985" i="2"/>
  <c r="AK4985" i="2" s="1"/>
  <c r="AG4985" i="2"/>
  <c r="AH4985" i="2"/>
  <c r="AI4985" i="2"/>
  <c r="AJ4985" i="2"/>
  <c r="AF4986" i="2"/>
  <c r="AK4986" i="2" s="1"/>
  <c r="AG4986" i="2"/>
  <c r="AH4986" i="2"/>
  <c r="AI4986" i="2"/>
  <c r="AJ4986" i="2"/>
  <c r="AF4987" i="2"/>
  <c r="AK4987" i="2"/>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s="1"/>
  <c r="AG4991" i="2"/>
  <c r="AH4991" i="2"/>
  <c r="AI4991" i="2"/>
  <c r="AJ4991" i="2"/>
  <c r="AL4991" i="2" s="1"/>
  <c r="AF4992" i="2"/>
  <c r="AK4992" i="2"/>
  <c r="AG4992" i="2"/>
  <c r="AH4992" i="2"/>
  <c r="AI4992" i="2"/>
  <c r="AJ4992" i="2"/>
  <c r="AF4993" i="2"/>
  <c r="AK4993" i="2"/>
  <c r="AG4993" i="2"/>
  <c r="AH4993" i="2"/>
  <c r="AI4993" i="2"/>
  <c r="AL4993" i="2"/>
  <c r="AJ4993" i="2"/>
  <c r="AF4994" i="2"/>
  <c r="AK4994" i="2" s="1"/>
  <c r="AL4994" i="2" s="1"/>
  <c r="AG4994" i="2"/>
  <c r="AH4994" i="2"/>
  <c r="AI4994" i="2"/>
  <c r="AJ4994" i="2"/>
  <c r="AF4995" i="2"/>
  <c r="AK4995" i="2" s="1"/>
  <c r="AG4995" i="2"/>
  <c r="AH4995" i="2"/>
  <c r="AL4995" i="2" s="1"/>
  <c r="AI4995" i="2"/>
  <c r="AJ4995" i="2"/>
  <c r="AF4996" i="2"/>
  <c r="AK4996" i="2"/>
  <c r="AG4996" i="2"/>
  <c r="AL4996" i="2" s="1"/>
  <c r="AH4996" i="2"/>
  <c r="AI4996" i="2"/>
  <c r="AJ4996" i="2"/>
  <c r="AF4997" i="2"/>
  <c r="AK4997" i="2" s="1"/>
  <c r="AL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943" i="2"/>
  <c r="AL4551" i="2"/>
  <c r="AL4575" i="2"/>
  <c r="AL4512" i="2"/>
  <c r="AL4351" i="2"/>
  <c r="AL4563" i="2"/>
  <c r="AL4541" i="2"/>
  <c r="AL4665" i="2"/>
  <c r="AL4553" i="2"/>
  <c r="AL4329" i="2"/>
  <c r="AL4268" i="2"/>
  <c r="AL4200" i="2"/>
  <c r="AL4149" i="2"/>
  <c r="AL4136" i="2"/>
  <c r="AL4092" i="2"/>
  <c r="AL4085" i="2"/>
  <c r="AL4062"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5" i="2"/>
  <c r="AL4040" i="2"/>
  <c r="AL4469" i="2"/>
  <c r="AL4401" i="2"/>
  <c r="AL4363" i="2"/>
  <c r="AL4336" i="2"/>
  <c r="AL4313" i="2"/>
  <c r="AL4281" i="2"/>
  <c r="AL4279" i="2"/>
  <c r="AL4275" i="2"/>
  <c r="AL4229" i="2"/>
  <c r="AL4216" i="2"/>
  <c r="AL4209"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759" i="2"/>
  <c r="AL4748"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966" i="2"/>
  <c r="AL4908" i="2"/>
  <c r="AL4900" i="2"/>
  <c r="AL4816" i="2"/>
  <c r="AL4813" i="2"/>
  <c r="AL4599" i="2"/>
  <c r="AL4459" i="2"/>
  <c r="AL4433" i="2"/>
  <c r="AL4303" i="2"/>
  <c r="AL3843" i="2"/>
  <c r="AL4824" i="2"/>
  <c r="AL4654" i="2"/>
  <c r="AL4528" i="2"/>
  <c r="AL4493" i="2"/>
  <c r="AL4466" i="2"/>
  <c r="AL4949" i="2"/>
  <c r="AL4756" i="2"/>
  <c r="AL4738" i="2"/>
  <c r="AL4734" i="2"/>
  <c r="AL4724" i="2"/>
  <c r="AL4644" i="2"/>
  <c r="AL4581" i="2"/>
  <c r="AL4494" i="2"/>
  <c r="AL4478" i="2"/>
  <c r="AL4454" i="2"/>
  <c r="AL4431" i="2"/>
  <c r="AL4345" i="2"/>
  <c r="AL4338" i="2"/>
  <c r="AL4007" i="2"/>
  <c r="AL3986"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807" i="2"/>
  <c r="AL4668" i="2"/>
  <c r="AL4611" i="2"/>
  <c r="AL4591" i="2"/>
  <c r="AL4332" i="2"/>
  <c r="AL4910" i="2"/>
  <c r="AL4750" i="2"/>
  <c r="AL4636" i="2"/>
  <c r="AL4617" i="2"/>
  <c r="AL4518" i="2"/>
  <c r="AL4979"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55" i="2"/>
  <c r="AL4090"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4936" i="2"/>
  <c r="AL4914" i="2"/>
  <c r="AL4797" i="2"/>
  <c r="AL4649" i="2"/>
  <c r="AL4597" i="2"/>
  <c r="AL4890" i="2"/>
  <c r="AL4858" i="2"/>
  <c r="AL4704" i="2"/>
  <c r="AL4664" i="2"/>
  <c r="AL4579" i="2"/>
  <c r="AL4853" i="2"/>
  <c r="AL4785" i="2"/>
  <c r="AL4698" i="2"/>
  <c r="AL4892" i="2"/>
  <c r="AL4850" i="2"/>
  <c r="AL4964"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856" i="2"/>
  <c r="AL4840" i="2"/>
  <c r="AL4779" i="2"/>
  <c r="AL4771" i="2"/>
  <c r="AL4733" i="2"/>
  <c r="AL4719"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61" i="2"/>
  <c r="AL4937" i="2"/>
  <c r="AL4923" i="2"/>
  <c r="AL4913" i="2"/>
  <c r="AL4825" i="2"/>
  <c r="AL4811" i="2"/>
  <c r="AL4806" i="2"/>
  <c r="AL4766" i="2"/>
  <c r="AL4758" i="2"/>
  <c r="AL4751" i="2"/>
  <c r="AL4723" i="2"/>
  <c r="AL4675" i="2"/>
  <c r="AL4604" i="2"/>
  <c r="AL4594" i="2"/>
  <c r="AL4550" i="2"/>
  <c r="AL4452" i="2"/>
  <c r="AL4959" i="2"/>
  <c r="AL4911" i="2"/>
  <c r="AL4894" i="2"/>
  <c r="AL4980" i="2"/>
  <c r="AL4904" i="2"/>
  <c r="AL4884" i="2"/>
  <c r="AL4794" i="2"/>
  <c r="AL4686" i="2"/>
  <c r="AL4656" i="2"/>
  <c r="AL4635" i="2"/>
  <c r="AL4580" i="2"/>
  <c r="AL4522" i="2"/>
  <c r="AL4449" i="2"/>
  <c r="AL4953" i="2"/>
  <c r="AL4935" i="2"/>
  <c r="AL4925" i="2"/>
  <c r="AL4921" i="2"/>
  <c r="AL4905" i="2"/>
  <c r="AL4848" i="2"/>
  <c r="AL4819" i="2"/>
  <c r="AL4770" i="2"/>
  <c r="AL4689" i="2"/>
  <c r="AL4659" i="2"/>
  <c r="AL4645" i="2"/>
  <c r="AL4623"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43" i="2"/>
  <c r="AL4442" i="2"/>
  <c r="AL4427" i="2"/>
  <c r="AL4416" i="2"/>
  <c r="AL4288" i="2"/>
  <c r="AL4614" i="2"/>
  <c r="AL4566" i="2"/>
  <c r="AL4519" i="2"/>
  <c r="AL4504" i="2"/>
  <c r="AL4240" i="2"/>
  <c r="AL4679" i="2"/>
  <c r="AL4592" i="2"/>
  <c r="AL4470" i="2"/>
  <c r="AL4100" i="2"/>
  <c r="AL4486" i="2"/>
  <c r="AL4440"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0" i="2"/>
  <c r="AM10" i="2" s="1"/>
  <c r="AL12" i="2"/>
  <c r="AM12" i="2" s="1"/>
  <c r="AL13" i="2"/>
  <c r="AM13" i="2" s="1"/>
  <c r="AL11" i="2"/>
  <c r="AM11" i="2" s="1"/>
  <c r="AL9" i="2"/>
  <c r="AM9" i="2" s="1"/>
  <c r="AL8" i="2"/>
  <c r="AM8" i="2" s="1"/>
  <c r="AL4792" i="2"/>
  <c r="AL4975" i="2"/>
  <c r="AL4970" i="2"/>
  <c r="AL4957" i="2"/>
  <c r="AL4945" i="2"/>
  <c r="AL4918" i="2"/>
  <c r="AL4899" i="2"/>
  <c r="AL4897" i="2"/>
  <c r="AL4868" i="2"/>
  <c r="AL4822" i="2"/>
  <c r="AL4760" i="2"/>
  <c r="AL4739" i="2"/>
  <c r="AL4718" i="2"/>
  <c r="AL4680" i="2"/>
  <c r="AL4637" i="2"/>
  <c r="AL4595" i="2"/>
  <c r="AL4590" i="2"/>
  <c r="AL4567" i="2"/>
  <c r="AL4562" i="2"/>
  <c r="AL4280" i="2"/>
  <c r="AL4271" i="2"/>
  <c r="AL4990" i="2"/>
  <c r="AL4986" i="2"/>
  <c r="AL4978" i="2"/>
  <c r="AL4882" i="2"/>
  <c r="AL4700" i="2"/>
  <c r="AL4655" i="2"/>
  <c r="AL4463" i="2"/>
  <c r="AL4457" i="2"/>
  <c r="AL4364" i="2"/>
  <c r="AL4204" i="2"/>
  <c r="AL4988" i="2"/>
  <c r="AL4987" i="2"/>
  <c r="AL4968" i="2"/>
  <c r="AL4954" i="2"/>
  <c r="AL4940" i="2"/>
  <c r="AL4934" i="2"/>
  <c r="AL4932" i="2"/>
  <c r="AL4909" i="2"/>
  <c r="AL4888" i="2"/>
  <c r="AL4864" i="2"/>
  <c r="AL4859" i="2"/>
  <c r="AL4831" i="2"/>
  <c r="AL4795" i="2"/>
  <c r="AL4783" i="2"/>
  <c r="AL4776" i="2"/>
  <c r="AL4774" i="2"/>
  <c r="AL4764" i="2"/>
  <c r="AL4753" i="2"/>
  <c r="AL4747" i="2"/>
  <c r="AL4735" i="2"/>
  <c r="AL4731" i="2"/>
  <c r="AL4728" i="2"/>
  <c r="AL4710" i="2"/>
  <c r="AL4708" i="2"/>
  <c r="AL4660" i="2"/>
  <c r="AL4652" i="2"/>
  <c r="AL4628" i="2"/>
  <c r="AL4626" i="2"/>
  <c r="AL4542" i="2"/>
  <c r="AL4531" i="2"/>
  <c r="AL4468" i="2"/>
  <c r="AL4444" i="2"/>
  <c r="AL4415" i="2"/>
  <c r="AL4383" i="2"/>
  <c r="AL4376" i="2"/>
  <c r="AL4323" i="2"/>
  <c r="AL4320" i="2"/>
  <c r="AL4311" i="2"/>
  <c r="AL4256" i="2"/>
  <c r="AL4101" i="2"/>
  <c r="AL3950" i="2"/>
  <c r="AL3760" i="2"/>
  <c r="AL3758" i="2"/>
  <c r="AL3676" i="2"/>
  <c r="AL3467" i="2"/>
  <c r="AL3443" i="2"/>
  <c r="AL3440" i="2"/>
  <c r="AL3385" i="2"/>
  <c r="AL4213" i="2"/>
  <c r="AL4192" i="2"/>
  <c r="AL3989" i="2"/>
  <c r="AL3955" i="2"/>
  <c r="AL3948" i="2"/>
  <c r="AL3928" i="2"/>
  <c r="AL3892" i="2"/>
  <c r="AL3856" i="2"/>
  <c r="AL3827" i="2"/>
  <c r="AL3810" i="2"/>
  <c r="AL3804" i="2"/>
  <c r="AL3740" i="2"/>
  <c r="AL3709" i="2"/>
  <c r="AL3530" i="2"/>
  <c r="AL3492" i="2"/>
  <c r="AL3327" i="2"/>
  <c r="AL4260" i="2"/>
  <c r="AL4228" i="2"/>
  <c r="AL4117" i="2"/>
  <c r="AL4097" i="2"/>
  <c r="AL4046" i="2"/>
  <c r="AL3494" i="2"/>
  <c r="AL4208" i="2"/>
  <c r="AL4147" i="2"/>
  <c r="AL4129" i="2"/>
  <c r="AL4116" i="2"/>
  <c r="AL3751" i="2"/>
  <c r="AL3716" i="2"/>
  <c r="AL3630" i="2"/>
  <c r="AL3628" i="2"/>
  <c r="AL3616" i="2"/>
  <c r="AL3610" i="2"/>
  <c r="AL3521" i="2"/>
  <c r="AL3414" i="2"/>
  <c r="AL3320" i="2"/>
  <c r="AL3234" i="2"/>
  <c r="AL2968" i="2"/>
  <c r="AL2939" i="2"/>
  <c r="AL2923" i="2"/>
  <c r="AL2875" i="2"/>
  <c r="AL2835" i="2"/>
  <c r="AL2799" i="2"/>
  <c r="AL2606" i="2"/>
  <c r="AL2571" i="2"/>
  <c r="AL2542" i="2"/>
  <c r="AL2446" i="2"/>
  <c r="AL2383" i="2"/>
  <c r="AL2357" i="2"/>
  <c r="AL2751" i="2"/>
  <c r="AL2476" i="2"/>
  <c r="AL2199" i="2"/>
  <c r="AL3254" i="2"/>
  <c r="AL3138" i="2"/>
  <c r="AL3099" i="2"/>
  <c r="AL2827" i="2"/>
  <c r="AL2705" i="2"/>
  <c r="AL2673" i="2"/>
  <c r="AL2530" i="2"/>
  <c r="AL2463" i="2"/>
  <c r="AL2462" i="2"/>
  <c r="AL2438" i="2"/>
  <c r="AL2414" i="2"/>
  <c r="AL2384" i="2"/>
  <c r="AL1971" i="2"/>
  <c r="AL1818" i="2"/>
  <c r="AL1590" i="2"/>
  <c r="AL1411" i="2"/>
  <c r="AL2091" i="2"/>
  <c r="AL1649" i="2"/>
  <c r="AL1486" i="2"/>
  <c r="AL1343" i="2"/>
  <c r="AL2006" i="2"/>
  <c r="AL1224" i="2"/>
  <c r="AL445" i="2"/>
  <c r="AL998" i="2"/>
  <c r="AL525" i="2"/>
  <c r="AL168" i="2"/>
  <c r="AL253" i="2"/>
  <c r="AL163"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<sst xmlns="http://schemas.openxmlformats.org/spreadsheetml/2006/main" count="211" uniqueCount="139">
  <si>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</si>
  <si>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</si>
  <si>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</si>
  <si>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</si>
  <si>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</si>
  <si>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</si>
  <si>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</si>
  <si>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</si>
  <si>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</si>
  <si>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</si>
  <si>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</si>
  <si>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</si>
  <si>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</si>
  <si>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</si>
  <si>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</si>
  <si>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</si>
  <si>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</si>
  <si>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</si>
  <si>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</si>
  <si>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</si>
  <si>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</si>
  <si>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</si>
  <si>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</si>
  <si>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</si>
  <si>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</si>
  <si>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</si>
  <si>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</si>
  <si>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</si>
  <si>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</si>
  <si>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</si>
  <si>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</si>
  <si>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</si>
  <si>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</si>
  <si>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</si>
  <si>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</si>
  <si>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</si>
  <si>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</si>
  <si>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</si>
  <si>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</si>
  <si>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</si>
  <si>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</si>
  <si>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</si>
  <si>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</si>
  <si>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</si>
  <si>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</si>
  <si>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</si>
  <si>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</si>
  <si>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</si>
  <si>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</si>
  <si>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</si>
  <si>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</si>
  <si>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</si>
  <si>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</si>
  <si>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</si>
  <si>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</si>
  <si>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</si>
  <si>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</si>
  <si>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</si>
  <si>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</si>
  <si>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</si>
  <si>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</si>
  <si>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</si>
  <si>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</si>
  <si>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</si>
  <si>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</si>
  <si>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</si>
  <si>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</si>
  <si>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</si>
  <si>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</si>
  <si>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</si>
  <si>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</si>
  <si>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</si>
  <si>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</si>
  <si>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</si>
  <si>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</si>
  <si>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</si>
  <si>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</si>
  <si>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</si>
  <si>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</si>
  <si>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</si>
  <si>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</si>
  <si>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</si>
  <si>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</si>
  <si>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</si>
  <si>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</si>
  <si>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</si>
  <si>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</si>
  <si>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</si>
  <si>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</si>
  <si>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</si>
  <si>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</si>
  <si>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</si>
  <si>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</si>
  <si>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</si>
  <si>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</si>
  <si>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</si>
  <si>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</si>
  <si>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OTHER</t>
  </si>
  <si>
    <t>skeena_2024_Phase2</t>
  </si>
  <si>
    <t>Restoring Fish Passage in our Skeena Region 2024 - Phase 2</t>
  </si>
  <si>
    <t>AI</t>
  </si>
  <si>
    <t>Simpson Creek</t>
  </si>
  <si>
    <t>Lake Kathlyn Road</t>
  </si>
  <si>
    <t xml:space="preserve">MoTi </t>
  </si>
  <si>
    <t>Closed Bottom Structure</t>
  </si>
  <si>
    <t>Round Culvert</t>
  </si>
  <si>
    <t>No</t>
  </si>
  <si>
    <t>Yes</t>
  </si>
  <si>
    <t>Deep Fill</t>
  </si>
  <si>
    <t>High</t>
  </si>
  <si>
    <t>AI JO</t>
  </si>
  <si>
    <t>Gershwin Creek</t>
  </si>
  <si>
    <t>Highway 16</t>
  </si>
  <si>
    <t>MOTi</t>
  </si>
  <si>
    <t>Medium</t>
  </si>
  <si>
    <t>LS</t>
  </si>
  <si>
    <t xml:space="preserve">Tributary to Knapper Creek </t>
  </si>
  <si>
    <t xml:space="preserve">Gold creek fsr </t>
  </si>
  <si>
    <t>Canfor R07549 6</t>
  </si>
  <si>
    <t>LS JD</t>
  </si>
  <si>
    <t xml:space="preserve">Railway </t>
  </si>
  <si>
    <t>CN Rail</t>
  </si>
  <si>
    <t>Concrete Box</t>
  </si>
  <si>
    <t>LS TP</t>
  </si>
  <si>
    <t>Nielson Road</t>
  </si>
  <si>
    <t>MoTi</t>
  </si>
  <si>
    <t>Oval Culvert</t>
  </si>
  <si>
    <t>HM7504</t>
  </si>
  <si>
    <t>Canfor R07549 16</t>
  </si>
  <si>
    <t>Two 1.25 m pipes are present and are heavily corroded. Upstream and downstream, the streambanks are heavily modified adjacent to private land, including riparian vegetation removal, stream channelization, and bank armouring. High-value steelhead, coho, and chinook spawning habitat is documented further upstream above the railway crossing. MoTi chris_culvert_id: 1514706, 1514705</t>
  </si>
  <si>
    <t xml:space="preserve">
There is a deep outlet pool, suggesting the culvert is undersized for the stream. High-quality gravels were present at the pool‚Äôs outlet, and upstream of the crossing, there was high-value habitat with frequent overwintering pools, spawning gravels, and adequate riparian cover with large cottonwoods throughout. This site was part of a habitat confirmation assessment, with the stream surveyed from the downstream railway crossing up to this location and an additional 600 m upstream. Downstream, crossing 198916 consists of a large, long box culvert beneath the railway with minimal flow depth and a swift current, making it unlikely that fish from the mainstem of the Skeena River can access this site until the railway barrier is addressed. Fish sampling at this site captured cutthroat trout and Dolly Varden. MoTi chris_culvert_id: 8300872</t>
  </si>
  <si>
    <t>The culvert is deteriorating at the inlet. Large outlet pool where fish were captured during sampling. The stream flows from the outlet pool along the left-hand side into a well-defined channel with gravels suitable for spawning and several pools, providing good habitat. A moderate amount of road fill is present.</t>
  </si>
  <si>
    <t>Very nice stream with good flow, abundant gravels for spawning, and undercut banks and occasional deep pools for rearing. Confirmed populations of cutthroat trout, rainbow trout, and Dolly Varden. The culvert is significantly undersized for the stream, and the road appears to be failing, likely due to a partially clogged inlet and spring freshet. Habitat confirmations were completed for this crossing and the next upstream crossing (198935) on the Gold FSR.</t>
  </si>
  <si>
    <t>Replace with New Open Bottom Structure</t>
  </si>
  <si>
    <t>The concrete box culvert is approximately 100 m long beneath a railway crossing, with about 30 to 40 m of fill above it. A swift current flows through the culvert, and installing baffles could improve fish passage. Fish sampling captured cutthroat trout and Dolly Varden. There is a moderate outlet drop, but adult fish could likely move upstream. The habitat upstream features good flow through a steeper section with a healthy, mature mixed riparian forest, stable banks, and gravel pockets suitable for spawning coho, Dolly Varden, and cutthroat trout. Downstream, abundant boulders create step pools alongside frequent large woody debris, though high flows limited suitable fish habitat during the survey. Although construction would be expensive and challenging, this site is a high priority for restoration follow-up.Culvert length 100 m but changed to 99.9 m to meet submission requirements.Fill depth 30 m but changed to 9.9 m to meet submission requirements.</t>
  </si>
  <si>
    <t>This concrete oval culvert has a significant 1 m outlet drop, likely inhibiting fish passage. The stream is incorrectly mapped in the Freshwater Atlas, located south of the mapped channel. Upstream habitat includes boulder cover, gravel pockets suitable for coho, steelhead, and Dolly Varden spawning, and a healthy mature mixed forest riparian zone. Downstream habitat transitions to lower-gradient, high-value conditions with extensive gravels, deep pools (up to 90 cm), large woody debris, and abundant cover, supporting recent steelhead and historically chinook spawning, as reported by the adjacent landowner. Habitat confirmations were completed at this site and all downstream crossings to the confluence with Kathlyn Creek. The stream is a major contributor to the greater Kathlyn Creek watershed, with flow volumes during the assessment slightly less than the Kathlyn Creek mainstem. Electrofishing upstream of Nielsen Road captured rainbow trout, while downstream sampling confirmed the presence of Dolly Varden, rainbow trout, cutthroat trout/rainbow trout hybrids, and coho. The coho were captured approximately 350 m downstream of Nielsen Road. According to the landowner, this crossing was originally a bridge but was replaced with the current culvert during an emergency flood event in the 1990s.</t>
  </si>
  <si>
    <t xml:space="preserve">Gershwin Creek </t>
  </si>
  <si>
    <t>Railway</t>
  </si>
  <si>
    <t>Although this culvert is on Simpson Creek, it is not currently conveying the main flow and remains mostly dry. Two 1.5 m diameter pipes run under the railway, approximately 30 m apart. The southern pipe is fully embedded with an average embedment depth of 25 cm, while the northern pipe is currently passing all stream flow. This is a high-value stream with extensive gravel areas suitable for steelhead, coho, and chinook salmon spawning upstream. The adjacent landowner has reported recent observations of steelhead spawning and has historical knowledge of chinook spawning approximately 300 m downstream from Nielsen Road.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</si>
</sst>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0" fillId="10" borderId="0" xfId="0" applyNumberFormat="1" applyFill="1"/>
    <xf numFmtId="2" fontId="1" fillId="0" borderId="0" xfId="3" applyNumberFormat="1" applyProtection="1">
      <protection locked="0"/>
    </xf>
    <xf numFmtId="0" fontId="0" fillId="0" borderId="0" xfId="0" applyFill="1" applyProtection="1">
      <protection locked="0"/>
    </xf>
    <xf numFmtId="2" fontId="0" fillId="0" borderId="0" xfId="0" applyNumberFormat="1" applyFill="1" applyProtection="1">
      <protection locked="0"/>
    </xf>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120" zoomScaleNormal="12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3644966-9C91-EA4C-8128-C1E7CC759047}">
      <formula1>"FIA,LBIS,MOE,MFLNRO,MOTI,MEM,BCHYDRO,BCOGC,OTHER"</formula1>
    </dataValidation>
    <dataValidation type="textLength" allowBlank="1" showInputMessage="1" showErrorMessage="1" sqref="B4 B8 B13" xr:uid="{43CCFF61-D70C-D244-A961-6034C1DDF76F}">
      <formula1>0</formula1>
      <formula2>255</formula2>
    </dataValidation>
    <dataValidation type="custom" allowBlank="1" showInputMessage="1" showErrorMessage="1" errorTitle="Invalid Format" error="The Phone number must be 10 digits minimum. The format must match the following mask: ###-###-####" sqref="B9 B14" xr:uid="{3789EFAA-EDD5-894E-869A-42ED6EA0DAE0}">
      <formula1>IF(LEN(B9)=12,LEN(B9)-LEN(SUBSTITUTE(B9,"-",""))=2,IF(LEN(B9)=10,LEN(B9)-LEN(SUBSTITUTE(B9,"-",""))=1,LEN(B9)=5))</formula1>
    </dataValidation>
    <dataValidation type="textLength" allowBlank="1" showInputMessage="1" showErrorMessage="1" sqref="B10 B5 B15" xr:uid="{77BA08E4-FA45-FD41-A89A-1C88D7E61CBE}">
      <formula1>0</formula1>
      <formula2>100</formula2>
    </dataValidation>
    <dataValidation type="decimal" allowBlank="1" showInputMessage="1" showErrorMessage="1" errorTitle="Invalid Budget value" error="The projects budget must be a positive number, less than 9999999999.99" sqref="B17" xr:uid="{CC786C2E-0B04-D848-A9C2-C88B7382DD7B}">
      <formula1>0</formula1>
      <formula2>9999999999.99</formula2>
    </dataValidation>
    <dataValidation type="textLength" allowBlank="1" showInputMessage="1" showErrorMessage="1" sqref="B7 B12" xr:uid="{3023CAE8-4FCB-EA4F-8701-B3DCBA3EAE56}">
      <formula1>0</formula1>
      <formula2>8</formula2>
    </dataValidation>
  </dataValidations>
  <hyperlinks>
    <hyperlink ref="B10" r:id="rId1" xr:uid="{F1C3AAC1-7AC1-8445-B81D-88481FE56548}"/>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110" zoomScaleNormal="110" workbookViewId="0">
      <pane ySplit="4" topLeftCell="A5" activePane="bottomLeft" state="frozen"/>
      <selection pane="bottomLeft" activeCell="AN17" sqref="AN1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B5" s="58">
        <v>58245</v>
      </c>
      <c r="D5" s="10" t="s">
        <v>100</v>
      </c>
      <c r="E5" s="11">
        <v>9</v>
      </c>
      <c r="F5" s="39">
        <v>615383</v>
      </c>
      <c r="G5" s="39">
        <v>6075125</v>
      </c>
      <c r="H5" s="11" t="s">
        <v>101</v>
      </c>
      <c r="I5" s="11" t="s">
        <v>102</v>
      </c>
      <c r="J5" s="33"/>
      <c r="K5" s="11" t="s">
        <v>103</v>
      </c>
      <c r="L5" s="10" t="s">
        <v>104</v>
      </c>
      <c r="M5" s="10" t="s">
        <v>105</v>
      </c>
      <c r="N5" s="87">
        <v>2.5</v>
      </c>
      <c r="O5" s="87">
        <v>20</v>
      </c>
      <c r="P5" s="10" t="s">
        <v>106</v>
      </c>
      <c r="Q5" s="85"/>
      <c r="S5" s="10" t="s">
        <v>106</v>
      </c>
      <c r="T5" s="85"/>
      <c r="U5" s="10">
        <v>2.2000000000000002</v>
      </c>
      <c r="V5" s="10">
        <v>0</v>
      </c>
      <c r="W5" s="10">
        <v>0.3</v>
      </c>
      <c r="X5" s="10" t="s">
        <v>106</v>
      </c>
      <c r="Y5" s="10">
        <v>2</v>
      </c>
      <c r="Z5" s="10">
        <v>7</v>
      </c>
      <c r="AA5" s="10">
        <v>1.5</v>
      </c>
      <c r="AB5" s="10" t="s">
        <v>107</v>
      </c>
      <c r="AC5" s="10" t="s">
        <v>107</v>
      </c>
      <c r="AD5" s="10" t="s">
        <v>108</v>
      </c>
      <c r="AE5" s="10" t="s">
        <v>109</v>
      </c>
      <c r="AF5" s="20">
        <f>IF(ISBLANK(Z5), 0, IF(ISBLANK(N5) &lt; 0, 0,Z5 / N5))</f>
        <v>2.8</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10" t="s">
        <v>133</v>
      </c>
      <c r="AO5" s="10">
        <v>15</v>
      </c>
      <c r="AP5" s="78" t="s">
        <v>129</v>
      </c>
    </row>
    <row r="6" spans="1:42" ht="16">
      <c r="A6" s="59">
        <v>45560</v>
      </c>
      <c r="B6" s="58">
        <v>198913</v>
      </c>
      <c r="D6" s="10" t="s">
        <v>110</v>
      </c>
      <c r="E6" s="11">
        <v>9</v>
      </c>
      <c r="F6" s="39">
        <v>581250</v>
      </c>
      <c r="G6" s="39">
        <v>6115660</v>
      </c>
      <c r="H6" s="10" t="s">
        <v>111</v>
      </c>
      <c r="I6" s="11" t="s">
        <v>112</v>
      </c>
      <c r="J6" s="33"/>
      <c r="K6" s="10" t="s">
        <v>113</v>
      </c>
      <c r="L6" s="10" t="s">
        <v>104</v>
      </c>
      <c r="M6" s="10" t="s">
        <v>105</v>
      </c>
      <c r="N6" s="87">
        <v>1.5</v>
      </c>
      <c r="O6" s="87">
        <v>40</v>
      </c>
      <c r="P6" s="10" t="s">
        <v>106</v>
      </c>
      <c r="Q6" s="85"/>
      <c r="S6" s="10" t="s">
        <v>106</v>
      </c>
      <c r="T6" s="85"/>
      <c r="U6" s="10">
        <v>2.5</v>
      </c>
      <c r="V6" s="10">
        <v>0.35</v>
      </c>
      <c r="W6" s="10">
        <v>0.85</v>
      </c>
      <c r="X6" s="10" t="s">
        <v>106</v>
      </c>
      <c r="Y6" s="10">
        <v>3</v>
      </c>
      <c r="Z6" s="10">
        <v>5</v>
      </c>
      <c r="AA6" s="10">
        <v>3</v>
      </c>
      <c r="AB6" s="10" t="s">
        <v>106</v>
      </c>
      <c r="AC6" s="10" t="s">
        <v>106</v>
      </c>
      <c r="AD6" s="10" t="s">
        <v>108</v>
      </c>
      <c r="AE6" s="10" t="s">
        <v>114</v>
      </c>
      <c r="AF6" s="20">
        <f t="shared" ref="AF6:AF11" si="0">IF(ISBLANK(Z6), 0, IF(ISBLANK(N6) &lt; 0, 0,Z6 / N6))</f>
        <v>3.3333333333333335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133</v>
      </c>
      <c r="AO6" s="10">
        <v>15</v>
      </c>
      <c r="AP6" s="78" t="s">
        <v>130</v>
      </c>
    </row>
    <row r="7" spans="1:42" ht="16">
      <c r="A7" s="59">
        <v>45553</v>
      </c>
      <c r="B7" s="58">
        <v>198935</v>
      </c>
      <c r="D7" s="10" t="s">
        <v>115</v>
      </c>
      <c r="E7" s="11">
        <v>9</v>
      </c>
      <c r="F7" s="39">
        <v>636440</v>
      </c>
      <c r="G7" s="39">
        <v>6020756</v>
      </c>
      <c r="H7" s="10" t="s">
        <v>116</v>
      </c>
      <c r="I7" s="11" t="s">
        <v>117</v>
      </c>
      <c r="J7" s="33"/>
      <c r="K7" s="10" t="s">
        <v>118</v>
      </c>
      <c r="L7" s="10" t="s">
        <v>104</v>
      </c>
      <c r="M7" s="10" t="s">
        <v>105</v>
      </c>
      <c r="N7" s="21">
        <v>1.2</v>
      </c>
      <c r="O7" s="21">
        <v>20</v>
      </c>
      <c r="P7" s="10" t="s">
        <v>106</v>
      </c>
      <c r="Q7" s="85"/>
      <c r="S7" s="10" t="s">
        <v>106</v>
      </c>
      <c r="T7" s="85"/>
      <c r="U7" s="10">
        <v>4</v>
      </c>
      <c r="V7" s="10">
        <v>0.15</v>
      </c>
      <c r="W7" s="10">
        <v>0.8</v>
      </c>
      <c r="X7" s="10" t="s">
        <v>106</v>
      </c>
      <c r="Y7" s="10">
        <v>1.5</v>
      </c>
      <c r="Z7" s="10">
        <v>2.7</v>
      </c>
      <c r="AA7" s="10">
        <v>2.2000000000000002</v>
      </c>
      <c r="AB7" s="10" t="s">
        <v>107</v>
      </c>
      <c r="AC7" s="10" t="s">
        <v>107</v>
      </c>
      <c r="AD7" s="10" t="s">
        <v>108</v>
      </c>
      <c r="AE7" s="10" t="s">
        <v>114</v>
      </c>
      <c r="AF7" s="20">
        <f t="shared" si="0"/>
        <v>2.2500000000000004</v>
      </c>
      <c r="AG7" s="13">
        <f t="shared" si="1"/>
        <v>3</v>
      </c>
      <c r="AH7" s="7">
        <f t="shared" si="2"/>
        <v>10</v>
      </c>
      <c r="AI7" s="7">
        <f t="shared" si="3"/>
        <v>5</v>
      </c>
      <c r="AJ7" s="7">
        <f t="shared" si="4"/>
        <v>5</v>
      </c>
      <c r="AK7" s="7">
        <f t="shared" si="5"/>
        <v>6</v>
      </c>
      <c r="AL7" s="12">
        <f t="shared" si="6"/>
        <v>29</v>
      </c>
      <c r="AM7" s="14" t="str">
        <f t="shared" si="7"/>
        <v>Barrier</v>
      </c>
      <c r="AN7" s="10" t="s">
        <v>133</v>
      </c>
      <c r="AO7" s="10">
        <v>18</v>
      </c>
      <c r="AP7" s="10" t="s">
        <v>131</v>
      </c>
    </row>
    <row r="8" spans="1:42" ht="16">
      <c r="A8" s="59">
        <v>45560</v>
      </c>
      <c r="B8" s="82">
        <v>198916</v>
      </c>
      <c r="D8" s="10" t="s">
        <v>119</v>
      </c>
      <c r="E8" s="11">
        <v>9</v>
      </c>
      <c r="F8" s="39">
        <v>580463</v>
      </c>
      <c r="G8" s="39">
        <v>6115769</v>
      </c>
      <c r="H8" s="10" t="s">
        <v>136</v>
      </c>
      <c r="I8" s="11" t="s">
        <v>120</v>
      </c>
      <c r="J8" s="79"/>
      <c r="K8" s="81" t="s">
        <v>121</v>
      </c>
      <c r="L8" s="10" t="s">
        <v>104</v>
      </c>
      <c r="M8" s="10" t="s">
        <v>122</v>
      </c>
      <c r="N8" s="21">
        <v>1.5</v>
      </c>
      <c r="O8" s="21">
        <v>99.9</v>
      </c>
      <c r="P8" s="10" t="s">
        <v>106</v>
      </c>
      <c r="Q8" s="85"/>
      <c r="S8" s="10" t="s">
        <v>106</v>
      </c>
      <c r="T8" s="85"/>
      <c r="U8" s="10">
        <v>9.9</v>
      </c>
      <c r="V8" s="10">
        <v>0.45</v>
      </c>
      <c r="W8" s="10">
        <v>0.35</v>
      </c>
      <c r="X8" s="10" t="s">
        <v>106</v>
      </c>
      <c r="Y8" s="10">
        <v>6</v>
      </c>
      <c r="Z8" s="10">
        <v>4.4000000000000004</v>
      </c>
      <c r="AA8" s="10">
        <v>4.4000000000000004</v>
      </c>
      <c r="AB8" s="10" t="s">
        <v>106</v>
      </c>
      <c r="AC8" s="10" t="s">
        <v>106</v>
      </c>
      <c r="AD8" s="10" t="s">
        <v>108</v>
      </c>
      <c r="AE8" s="10" t="s">
        <v>114</v>
      </c>
      <c r="AF8" s="20">
        <f t="shared" si="0"/>
        <v>2.9333333333333336</v>
      </c>
      <c r="AG8" s="13">
        <f t="shared" si="1"/>
        <v>6</v>
      </c>
      <c r="AH8" s="7">
        <f t="shared" si="2"/>
        <v>10</v>
      </c>
      <c r="AI8" s="7">
        <f t="shared" si="3"/>
        <v>10</v>
      </c>
      <c r="AJ8" s="7">
        <f t="shared" si="4"/>
        <v>10</v>
      </c>
      <c r="AK8" s="7">
        <f t="shared" si="5"/>
        <v>6</v>
      </c>
      <c r="AL8" s="12">
        <f t="shared" si="6"/>
        <v>42</v>
      </c>
      <c r="AM8" s="14" t="str">
        <f t="shared" si="7"/>
        <v>Barrier</v>
      </c>
      <c r="AN8" s="10" t="s">
        <v>133</v>
      </c>
      <c r="AO8" s="10">
        <v>35.5</v>
      </c>
      <c r="AP8" s="10" t="s">
        <v>134</v>
      </c>
    </row>
    <row r="9" spans="1:42" ht="16">
      <c r="A9" s="59">
        <v>45555</v>
      </c>
      <c r="B9" s="58">
        <v>58264</v>
      </c>
      <c r="D9" s="10" t="s">
        <v>123</v>
      </c>
      <c r="E9" s="11">
        <v>9</v>
      </c>
      <c r="F9" s="39">
        <v>614280</v>
      </c>
      <c r="G9" s="39">
        <v>6074951</v>
      </c>
      <c r="H9" s="78" t="s">
        <v>101</v>
      </c>
      <c r="I9" s="11" t="s">
        <v>124</v>
      </c>
      <c r="J9" s="33"/>
      <c r="K9" s="81" t="s">
        <v>125</v>
      </c>
      <c r="L9" s="10" t="s">
        <v>104</v>
      </c>
      <c r="M9" s="10" t="s">
        <v>126</v>
      </c>
      <c r="N9" s="21">
        <v>2.4</v>
      </c>
      <c r="O9" s="21">
        <v>23</v>
      </c>
      <c r="P9" s="10" t="s">
        <v>106</v>
      </c>
      <c r="Q9" s="85"/>
      <c r="S9" s="10" t="s">
        <v>106</v>
      </c>
      <c r="T9" s="85"/>
      <c r="U9" s="10">
        <v>0.4</v>
      </c>
      <c r="V9" s="10">
        <v>1</v>
      </c>
      <c r="W9" s="10">
        <v>1.2</v>
      </c>
      <c r="X9" s="10" t="s">
        <v>106</v>
      </c>
      <c r="Y9" s="10">
        <v>5</v>
      </c>
      <c r="Z9" s="10">
        <v>5.6</v>
      </c>
      <c r="AA9" s="10">
        <v>13</v>
      </c>
      <c r="AB9" s="10" t="s">
        <v>106</v>
      </c>
      <c r="AC9" s="10" t="s">
        <v>107</v>
      </c>
      <c r="AD9" s="10" t="s">
        <v>108</v>
      </c>
      <c r="AE9" s="10" t="s">
        <v>109</v>
      </c>
      <c r="AF9" s="20">
        <f t="shared" si="0"/>
        <v>2.3333333333333335</v>
      </c>
      <c r="AG9" s="13">
        <f t="shared" si="1"/>
        <v>3</v>
      </c>
      <c r="AH9" s="7">
        <f t="shared" si="2"/>
        <v>10</v>
      </c>
      <c r="AI9" s="7">
        <f t="shared" si="3"/>
        <v>10</v>
      </c>
      <c r="AJ9" s="7">
        <f t="shared" si="4"/>
        <v>10</v>
      </c>
      <c r="AK9" s="7">
        <f t="shared" si="5"/>
        <v>6</v>
      </c>
      <c r="AL9" s="12">
        <f t="shared" si="6"/>
        <v>39</v>
      </c>
      <c r="AM9" s="14" t="str">
        <f t="shared" si="7"/>
        <v>Barrier</v>
      </c>
      <c r="AN9" s="10" t="s">
        <v>133</v>
      </c>
      <c r="AO9" s="10">
        <v>15</v>
      </c>
      <c r="AP9" s="10" t="s">
        <v>135</v>
      </c>
    </row>
    <row r="10" spans="1:42" ht="16">
      <c r="A10" s="59">
        <v>45553</v>
      </c>
      <c r="B10" s="58">
        <v>198940</v>
      </c>
      <c r="D10" s="10" t="s">
        <v>100</v>
      </c>
      <c r="E10" s="11">
        <v>9</v>
      </c>
      <c r="F10" s="39">
        <v>636706</v>
      </c>
      <c r="G10" s="39">
        <v>6020960</v>
      </c>
      <c r="H10" s="78" t="s">
        <v>116</v>
      </c>
      <c r="I10" s="11" t="s">
        <v>127</v>
      </c>
      <c r="J10" s="33">
        <v>0.3</v>
      </c>
      <c r="K10" s="10" t="s">
        <v>128</v>
      </c>
      <c r="L10" s="10" t="s">
        <v>104</v>
      </c>
      <c r="M10" s="10" t="s">
        <v>105</v>
      </c>
      <c r="N10" s="21">
        <v>0.95</v>
      </c>
      <c r="O10" s="21">
        <v>25</v>
      </c>
      <c r="P10" s="10" t="s">
        <v>106</v>
      </c>
      <c r="Q10" s="86"/>
      <c r="S10" s="10" t="s">
        <v>107</v>
      </c>
      <c r="T10" s="21">
        <v>30</v>
      </c>
      <c r="U10" s="21">
        <v>1.75</v>
      </c>
      <c r="V10" s="10">
        <v>0</v>
      </c>
      <c r="W10" s="21">
        <v>0.9</v>
      </c>
      <c r="X10" s="10" t="s">
        <v>107</v>
      </c>
      <c r="Y10" s="21">
        <v>2</v>
      </c>
      <c r="Z10" s="21">
        <v>4.3</v>
      </c>
      <c r="AA10" s="10">
        <v>3</v>
      </c>
      <c r="AB10" s="10" t="s">
        <v>107</v>
      </c>
      <c r="AC10" s="10" t="s">
        <v>107</v>
      </c>
      <c r="AD10" s="10" t="s">
        <v>108</v>
      </c>
      <c r="AE10" s="10" t="s">
        <v>114</v>
      </c>
      <c r="AF10" s="20">
        <f t="shared" si="0"/>
        <v>4.5263157894736841</v>
      </c>
      <c r="AG10" s="13">
        <f t="shared" si="1"/>
        <v>3</v>
      </c>
      <c r="AH10" s="7">
        <f t="shared" si="2"/>
        <v>10</v>
      </c>
      <c r="AI10" s="7">
        <f t="shared" si="3"/>
        <v>0</v>
      </c>
      <c r="AJ10" s="7">
        <f t="shared" si="4"/>
        <v>5</v>
      </c>
      <c r="AK10" s="7">
        <f t="shared" si="5"/>
        <v>6</v>
      </c>
      <c r="AL10" s="12">
        <f t="shared" si="6"/>
        <v>24</v>
      </c>
      <c r="AM10" s="14" t="str">
        <f t="shared" si="7"/>
        <v>Barrier</v>
      </c>
      <c r="AN10" s="10" t="s">
        <v>133</v>
      </c>
      <c r="AO10" s="21">
        <v>15</v>
      </c>
      <c r="AP10" s="10" t="s">
        <v>132</v>
      </c>
    </row>
    <row r="11" spans="1:42" ht="16">
      <c r="A11" s="59">
        <v>45555</v>
      </c>
      <c r="B11" s="58">
        <v>203122</v>
      </c>
      <c r="C11" s="78"/>
      <c r="D11" s="10" t="s">
        <v>100</v>
      </c>
      <c r="E11" s="10">
        <v>9</v>
      </c>
      <c r="F11" s="80">
        <v>614941</v>
      </c>
      <c r="G11" s="80">
        <v>6075232</v>
      </c>
      <c r="H11" s="78" t="s">
        <v>101</v>
      </c>
      <c r="I11" s="11" t="s">
        <v>137</v>
      </c>
      <c r="J11" s="33"/>
      <c r="K11" s="10" t="s">
        <v>121</v>
      </c>
      <c r="L11" s="10" t="s">
        <v>104</v>
      </c>
      <c r="M11" s="10" t="s">
        <v>105</v>
      </c>
      <c r="N11" s="89">
        <v>3</v>
      </c>
      <c r="O11" s="89">
        <v>25</v>
      </c>
      <c r="P11" s="88" t="s">
        <v>106</v>
      </c>
      <c r="Q11" s="90"/>
      <c r="R11" s="88" t="s">
        <v>107</v>
      </c>
      <c r="S11" s="88" t="s">
        <v>106</v>
      </c>
      <c r="T11" s="90"/>
      <c r="U11" s="89">
        <v>1</v>
      </c>
      <c r="V11" s="88">
        <v>0.05</v>
      </c>
      <c r="W11" s="89">
        <v>0.9</v>
      </c>
      <c r="X11" s="88" t="s">
        <v>107</v>
      </c>
      <c r="Y11" s="89">
        <v>2</v>
      </c>
      <c r="Z11" s="89">
        <v>5</v>
      </c>
      <c r="AA11" s="88">
        <v>1</v>
      </c>
      <c r="AB11" s="10" t="s">
        <v>107</v>
      </c>
      <c r="AC11" s="10" t="s">
        <v>107</v>
      </c>
      <c r="AD11" s="88" t="s">
        <v>108</v>
      </c>
      <c r="AE11" s="88" t="s">
        <v>109</v>
      </c>
      <c r="AF11" s="20">
        <f t="shared" si="0"/>
        <v>1.6666666666666667</v>
      </c>
      <c r="AG11" s="13">
        <f t="shared" si="1"/>
        <v>3</v>
      </c>
      <c r="AH11" s="7">
        <f t="shared" si="2"/>
        <v>10</v>
      </c>
      <c r="AI11" s="7">
        <f t="shared" si="3"/>
        <v>0</v>
      </c>
      <c r="AJ11" s="7">
        <f>IF(Y11&lt;1,0,IF(AND(Y11&gt;=1,Y11&lt;3),5,IF(Y11&gt;=3,10,0)))</f>
        <v>5</v>
      </c>
      <c r="AK11" s="7">
        <f t="shared" si="5"/>
        <v>6</v>
      </c>
      <c r="AL11" s="12">
        <f t="shared" si="6"/>
        <v>24</v>
      </c>
      <c r="AM11" s="14" t="str">
        <f t="shared" si="7"/>
        <v>Barrier</v>
      </c>
      <c r="AN11" s="88" t="s">
        <v>133</v>
      </c>
      <c r="AO11" s="88">
        <v>15</v>
      </c>
      <c r="AP11" s="10" t="s">
        <v>138</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mjy8XIQ8ClYwEmqDfMofxZvWnArUk4RumaEV4PQi9ukJ8OR4OaRqDuwk8r/xwRsajyBx5Jv/0SCQ+CRV2zbnQA==" saltValue="gXqrqf5j/4vVh3pi/AlW8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0 M12:M13" xr:uid="{13E374F1-6758-004C-B6DC-96D9D536F54C}">
      <formula1>"Round Culvert,Oval Culvert,Concrete Box"</formula1>
    </dataValidation>
    <dataValidation type="decimal" allowBlank="1" showInputMessage="1" showErrorMessage="1" errorTitle="Invalid Diamter or Span" error="The Diameter or Span entered is invalid. Diameter or Span must be &gt; 0 and &lt; 300" sqref="N5:N10 N12:N13" xr:uid="{2E8EB8BA-F279-A545-A620-7D949E29E9C5}">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6 Q8" xr:uid="{C006B734-DCE8-D244-9928-B0FFBC161E4D}">
      <formula1>0.01</formula1>
      <formula2>1.49</formula2>
    </dataValidation>
    <dataValidation type="decimal" allowBlank="1" showInputMessage="1" showErrorMessage="1" errorTitle="Invalid value entered" error="The Average Depth Embededdment you entered is invalid. The Average Depth Embededdment must be &lt;= 2.39 and &gt;= 0.01" sqref="Q12 Q9" xr:uid="{33E1D743-CCD6-D346-B912-9C0C14DBB566}">
      <formula1>0.01</formula1>
      <formula2>2.39</formula2>
    </dataValidation>
    <dataValidation type="decimal" allowBlank="1" showInputMessage="1" showErrorMessage="1" errorTitle="Invalid value entered" error="The Average Depth Embededdment you entered is invalid. The Average Depth Embededdment must be &lt;= 0.94 and &gt;= 0.01" sqref="Q13 Q10" xr:uid="{C9145A6D-20BF-D44E-9C17-9D8325E84B68}">
      <formula1>0.01</formula1>
      <formula2>0.94</formula2>
    </dataValidation>
    <dataValidation type="decimal" allowBlank="1" showInputMessage="1" showErrorMessage="1" errorTitle="Invalid value entered" error="The Average Depth Embededdment you entered is invalid. The Average Depth Embededdment must be &lt;= 2.49 and &gt;= 0.01" sqref="Q5" xr:uid="{18FBFB49-7539-5345-AB40-0B7C6AB972B7}">
      <formula1>0.01</formula1>
      <formula2>2.49</formula2>
    </dataValidation>
    <dataValidation type="list" allowBlank="1" showInputMessage="1" showErrorMessage="1" errorTitle="Invalid value entered" error="The crossing subtype is not compatible with a crossing type of Closed Bottom Structure" sqref="M11" xr:uid="{228A9967-22E8-1640-AE4D-625625213249}">
      <formula1>"Round Culvert,Oval Culvert,Concrete Box"</formula1>
    </dataValidation>
    <dataValidation type="decimal" allowBlank="1" showInputMessage="1" showErrorMessage="1" errorTitle="Invalid Diamter or Span" error="The Diameter or Span entered is invalid. Diameter or Span must be &gt; 0 and &lt; 300" sqref="N11" xr:uid="{EAEBBD8A-18E4-854C-A4FC-DEFB5B690750}">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11" xr:uid="{AC911CD7-FDD5-3546-B18A-47BB868E4464}">
      <formula1>0.01</formula1>
      <formula2>2.99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2025-03-12T17:40:07Z</dcterms:modified>
</cp:coreProperties>
</file>