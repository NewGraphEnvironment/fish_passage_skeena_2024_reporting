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D7840543-F433-8247-8C71-A2E3D68E48DF}" xr6:coauthVersionLast="47" xr6:coauthVersionMax="47" xr10:uidLastSave="{00000000-0000-0000-0000-000000000000}"/>
  <bookViews>
    <workbookView xWindow="-460" yWindow="500" windowWidth="28800" windowHeight="175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L6" i="2" s="1"/>
  <c r="AM6" i="2" s="1"/>
  <c r="AH6" i="2"/>
  <c r="AI6" i="2"/>
  <c r="AJ6" i="2"/>
  <c r="AF7" i="2"/>
  <c r="AK7" i="2" s="1"/>
  <c r="AG7" i="2"/>
  <c r="AH7" i="2"/>
  <c r="AI7" i="2"/>
  <c r="AJ7" i="2"/>
  <c r="AF8" i="2"/>
  <c r="AK8" i="2"/>
  <c r="AG8" i="2"/>
  <c r="AH8" i="2"/>
  <c r="AI8" i="2"/>
  <c r="AJ8" i="2"/>
  <c r="AF9" i="2"/>
  <c r="AK9" i="2"/>
  <c r="AG9" i="2"/>
  <c r="AH9" i="2"/>
  <c r="AL9" i="2" s="1"/>
  <c r="AM9" i="2" s="1"/>
  <c r="AI9" i="2"/>
  <c r="AJ9" i="2"/>
  <c r="AF10" i="2"/>
  <c r="AK10" i="2" s="1"/>
  <c r="AG10" i="2"/>
  <c r="AH10" i="2"/>
  <c r="AI10" i="2"/>
  <c r="AJ10" i="2"/>
  <c r="AF11" i="2"/>
  <c r="AK11" i="2" s="1"/>
  <c r="AG11" i="2"/>
  <c r="AH11" i="2"/>
  <c r="AI11" i="2"/>
  <c r="AJ11" i="2"/>
  <c r="AF12" i="2"/>
  <c r="AK12" i="2" s="1"/>
  <c r="AL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L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L2004" i="2" s="1"/>
  <c r="AF2005" i="2"/>
  <c r="AK2005" i="2"/>
  <c r="AG2005" i="2"/>
  <c r="AH2005" i="2"/>
  <c r="AI2005" i="2"/>
  <c r="AJ2005" i="2"/>
  <c r="AF2006" i="2"/>
  <c r="AK2006" i="2"/>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L2066" i="2" s="1"/>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L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L2159" i="2" s="1"/>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L2255" i="2" s="1"/>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L2390" i="2" s="1"/>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s="1"/>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L2462" i="2"/>
  <c r="AF2463" i="2"/>
  <c r="AK2463" i="2"/>
  <c r="AG2463" i="2"/>
  <c r="AH2463" i="2"/>
  <c r="AL2463" i="2" s="1"/>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H2606" i="2"/>
  <c r="AI2606" i="2"/>
  <c r="AJ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L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L3212" i="2" s="1"/>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G3353" i="2"/>
  <c r="AH3353" i="2"/>
  <c r="AL3353" i="2" s="1"/>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H3378" i="2"/>
  <c r="AI3378" i="2"/>
  <c r="AL3378" i="2" s="1"/>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L3493" i="2" s="1"/>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s="1"/>
  <c r="AG3497" i="2"/>
  <c r="AH3497" i="2"/>
  <c r="AI3497" i="2"/>
  <c r="AJ3497" i="2"/>
  <c r="AF3498" i="2"/>
  <c r="AK3498" i="2"/>
  <c r="AG3498" i="2"/>
  <c r="AH3498" i="2"/>
  <c r="AI3498" i="2"/>
  <c r="AJ3498" i="2"/>
  <c r="AF3499" i="2"/>
  <c r="AK3499" i="2" s="1"/>
  <c r="AG3499" i="2"/>
  <c r="AL3499" i="2" s="1"/>
  <c r="AH3499" i="2"/>
  <c r="AI3499" i="2"/>
  <c r="AJ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L3760" i="2" s="1"/>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L3925" i="2" s="1"/>
  <c r="AJ3925" i="2"/>
  <c r="AF3926" i="2"/>
  <c r="AK3926" i="2"/>
  <c r="AG3926" i="2"/>
  <c r="AH3926" i="2"/>
  <c r="AI3926" i="2"/>
  <c r="AJ3926" i="2"/>
  <c r="AF3927" i="2"/>
  <c r="AK3927" i="2"/>
  <c r="AG3927" i="2"/>
  <c r="AL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L3955" i="2" s="1"/>
  <c r="AI3955" i="2"/>
  <c r="AJ3955" i="2"/>
  <c r="AF3956" i="2"/>
  <c r="AK3956" i="2"/>
  <c r="AG3956" i="2"/>
  <c r="AL3956" i="2" s="1"/>
  <c r="AH3956" i="2"/>
  <c r="AI3956" i="2"/>
  <c r="AJ3956" i="2"/>
  <c r="AF3957" i="2"/>
  <c r="AK3957" i="2" s="1"/>
  <c r="AG3957" i="2"/>
  <c r="AH3957" i="2"/>
  <c r="AI3957" i="2"/>
  <c r="AJ3957" i="2"/>
  <c r="AF3958" i="2"/>
  <c r="AK3958" i="2" s="1"/>
  <c r="AL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s="1"/>
  <c r="AL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s="1"/>
  <c r="AL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L4003" i="2" s="1"/>
  <c r="AG4003" i="2"/>
  <c r="AH4003" i="2"/>
  <c r="AI4003" i="2"/>
  <c r="AJ4003" i="2"/>
  <c r="AF4004" i="2"/>
  <c r="AK4004" i="2" s="1"/>
  <c r="AL4004" i="2" s="1"/>
  <c r="AG4004" i="2"/>
  <c r="AH4004" i="2"/>
  <c r="AI4004" i="2"/>
  <c r="AJ4004" i="2"/>
  <c r="AF4005" i="2"/>
  <c r="AK4005" i="2" s="1"/>
  <c r="AG4005" i="2"/>
  <c r="AH4005" i="2"/>
  <c r="AI4005" i="2"/>
  <c r="AJ4005" i="2"/>
  <c r="AF4006" i="2"/>
  <c r="AK4006" i="2" s="1"/>
  <c r="AG4006" i="2"/>
  <c r="AH4006" i="2"/>
  <c r="AI4006" i="2"/>
  <c r="AJ4006" i="2"/>
  <c r="AF4007" i="2"/>
  <c r="AK4007" i="2" s="1"/>
  <c r="AL4007" i="2" s="1"/>
  <c r="AG4007" i="2"/>
  <c r="AH4007" i="2"/>
  <c r="AI4007" i="2"/>
  <c r="AJ4007" i="2"/>
  <c r="AF4008" i="2"/>
  <c r="AK4008" i="2" s="1"/>
  <c r="AG4008" i="2"/>
  <c r="AH4008" i="2"/>
  <c r="AI4008" i="2"/>
  <c r="AJ4008" i="2"/>
  <c r="AF4009" i="2"/>
  <c r="AK4009" i="2" s="1"/>
  <c r="AL4009" i="2" s="1"/>
  <c r="AG4009" i="2"/>
  <c r="AH4009" i="2"/>
  <c r="AI4009" i="2"/>
  <c r="AJ4009" i="2"/>
  <c r="AF4010" i="2"/>
  <c r="AK4010" i="2" s="1"/>
  <c r="AL4010" i="2" s="1"/>
  <c r="AG4010" i="2"/>
  <c r="AH4010" i="2"/>
  <c r="AI4010" i="2"/>
  <c r="AJ4010" i="2"/>
  <c r="AF4011" i="2"/>
  <c r="AK4011" i="2" s="1"/>
  <c r="AL4011" i="2" s="1"/>
  <c r="AG4011" i="2"/>
  <c r="AH4011" i="2"/>
  <c r="AI4011" i="2"/>
  <c r="AJ4011" i="2"/>
  <c r="AF4012" i="2"/>
  <c r="AK4012" i="2" s="1"/>
  <c r="AL4012" i="2" s="1"/>
  <c r="AG4012" i="2"/>
  <c r="AH4012" i="2"/>
  <c r="AI4012" i="2"/>
  <c r="AJ4012" i="2"/>
  <c r="AF4013" i="2"/>
  <c r="AK4013" i="2" s="1"/>
  <c r="AG4013" i="2"/>
  <c r="AH4013" i="2"/>
  <c r="AI4013" i="2"/>
  <c r="AJ4013" i="2"/>
  <c r="AF4014" i="2"/>
  <c r="AK4014" i="2" s="1"/>
  <c r="AL4014" i="2" s="1"/>
  <c r="AG4014" i="2"/>
  <c r="AH4014" i="2"/>
  <c r="AI4014" i="2"/>
  <c r="AJ4014" i="2"/>
  <c r="AF4015" i="2"/>
  <c r="AK4015" i="2" s="1"/>
  <c r="AL4015" i="2" s="1"/>
  <c r="AG4015" i="2"/>
  <c r="AH4015" i="2"/>
  <c r="AI4015" i="2"/>
  <c r="AJ4015" i="2"/>
  <c r="AF4016" i="2"/>
  <c r="AK4016" i="2" s="1"/>
  <c r="AL4016" i="2" s="1"/>
  <c r="AG4016" i="2"/>
  <c r="AH4016" i="2"/>
  <c r="AI4016" i="2"/>
  <c r="AJ4016" i="2"/>
  <c r="AF4017" i="2"/>
  <c r="AK4017" i="2" s="1"/>
  <c r="AL4017" i="2" s="1"/>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L4020" i="2" s="1"/>
  <c r="AG4020" i="2"/>
  <c r="AH4020" i="2"/>
  <c r="AI4020" i="2"/>
  <c r="AJ4020" i="2"/>
  <c r="AF4021" i="2"/>
  <c r="AK4021" i="2" s="1"/>
  <c r="AL4021" i="2" s="1"/>
  <c r="AG4021" i="2"/>
  <c r="AH4021" i="2"/>
  <c r="AI4021" i="2"/>
  <c r="AJ4021" i="2"/>
  <c r="AF4022" i="2"/>
  <c r="AK4022" i="2" s="1"/>
  <c r="AG4022" i="2"/>
  <c r="AH4022" i="2"/>
  <c r="AI4022" i="2"/>
  <c r="AJ4022" i="2"/>
  <c r="AF4023" i="2"/>
  <c r="AK4023" i="2" s="1"/>
  <c r="AL4023" i="2" s="1"/>
  <c r="AG4023" i="2"/>
  <c r="AH4023" i="2"/>
  <c r="AI4023" i="2"/>
  <c r="AJ4023" i="2"/>
  <c r="AF4024" i="2"/>
  <c r="AK4024" i="2" s="1"/>
  <c r="AL4024" i="2" s="1"/>
  <c r="AG4024" i="2"/>
  <c r="AH4024" i="2"/>
  <c r="AI4024" i="2"/>
  <c r="AJ4024" i="2"/>
  <c r="AF4025" i="2"/>
  <c r="AK4025" i="2" s="1"/>
  <c r="AL4025" i="2" s="1"/>
  <c r="AG4025" i="2"/>
  <c r="AH4025" i="2"/>
  <c r="AI4025" i="2"/>
  <c r="AJ4025" i="2"/>
  <c r="AF4026" i="2"/>
  <c r="AK4026" i="2" s="1"/>
  <c r="AL4026" i="2" s="1"/>
  <c r="AG4026" i="2"/>
  <c r="AH4026" i="2"/>
  <c r="AI4026" i="2"/>
  <c r="AJ4026" i="2"/>
  <c r="AF4027" i="2"/>
  <c r="AK4027" i="2" s="1"/>
  <c r="AL4027" i="2" s="1"/>
  <c r="AG4027" i="2"/>
  <c r="AH4027" i="2"/>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L4041" i="2" s="1"/>
  <c r="AG4041" i="2"/>
  <c r="AH4041" i="2"/>
  <c r="AI4041" i="2"/>
  <c r="AJ4041" i="2"/>
  <c r="AF4042" i="2"/>
  <c r="AK4042" i="2"/>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s="1"/>
  <c r="AL4071" i="2" s="1"/>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L4084" i="2" s="1"/>
  <c r="AH4084" i="2"/>
  <c r="AI4084" i="2"/>
  <c r="AJ4084" i="2"/>
  <c r="AF4085" i="2"/>
  <c r="AK4085" i="2" s="1"/>
  <c r="AL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L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L4104" i="2" s="1"/>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c r="AG4112" i="2"/>
  <c r="AH4112" i="2"/>
  <c r="AI4112" i="2"/>
  <c r="AJ4112" i="2"/>
  <c r="AF4113" i="2"/>
  <c r="AK4113" i="2" s="1"/>
  <c r="AL4113" i="2" s="1"/>
  <c r="AG4113" i="2"/>
  <c r="AH4113" i="2"/>
  <c r="AI4113" i="2"/>
  <c r="AJ4113" i="2"/>
  <c r="AF4114" i="2"/>
  <c r="AK4114" i="2"/>
  <c r="AG4114" i="2"/>
  <c r="AH4114" i="2"/>
  <c r="AI4114" i="2"/>
  <c r="AJ4114" i="2"/>
  <c r="AL4114" i="2" s="1"/>
  <c r="AF4115" i="2"/>
  <c r="AK4115" i="2"/>
  <c r="AG4115" i="2"/>
  <c r="AH4115" i="2"/>
  <c r="AI4115" i="2"/>
  <c r="AJ4115" i="2"/>
  <c r="AF4116" i="2"/>
  <c r="AK4116" i="2"/>
  <c r="AG4116" i="2"/>
  <c r="AH4116" i="2"/>
  <c r="AL4116" i="2" s="1"/>
  <c r="AI4116" i="2"/>
  <c r="AJ4116" i="2"/>
  <c r="AF4117" i="2"/>
  <c r="AG4117" i="2"/>
  <c r="AL4117" i="2" s="1"/>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c r="AG4131" i="2"/>
  <c r="AL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L4136" i="2" s="1"/>
  <c r="AG4136" i="2"/>
  <c r="AH4136" i="2"/>
  <c r="AI4136" i="2"/>
  <c r="AJ4136" i="2"/>
  <c r="AF4137" i="2"/>
  <c r="AK4137" i="2"/>
  <c r="AG4137" i="2"/>
  <c r="AH4137" i="2"/>
  <c r="AI4137" i="2"/>
  <c r="AJ4137" i="2"/>
  <c r="AF4138" i="2"/>
  <c r="AK4138" i="2" s="1"/>
  <c r="AL4138" i="2" s="1"/>
  <c r="AG4138" i="2"/>
  <c r="AH4138" i="2"/>
  <c r="AI4138" i="2"/>
  <c r="AJ4138" i="2"/>
  <c r="AF4139" i="2"/>
  <c r="AK4139" i="2"/>
  <c r="AG4139" i="2"/>
  <c r="AH4139" i="2"/>
  <c r="AI4139" i="2"/>
  <c r="AJ4139" i="2"/>
  <c r="AF4140" i="2"/>
  <c r="AK4140" i="2" s="1"/>
  <c r="AL4140" i="2" s="1"/>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L4144" i="2" s="1"/>
  <c r="AG4144" i="2"/>
  <c r="AH4144" i="2"/>
  <c r="AI4144" i="2"/>
  <c r="AJ4144" i="2"/>
  <c r="AF4145" i="2"/>
  <c r="AK4145" i="2"/>
  <c r="AG4145" i="2"/>
  <c r="AL4145" i="2" s="1"/>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J4156" i="2"/>
  <c r="AL4156" i="2" s="1"/>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L4162" i="2" s="1"/>
  <c r="AI4162" i="2"/>
  <c r="AJ4162" i="2"/>
  <c r="AF4163" i="2"/>
  <c r="AK4163" i="2"/>
  <c r="AG4163" i="2"/>
  <c r="AH4163" i="2"/>
  <c r="AI4163" i="2"/>
  <c r="AJ4163" i="2"/>
  <c r="AF4164" i="2"/>
  <c r="AK4164" i="2" s="1"/>
  <c r="AL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L4183" i="2" s="1"/>
  <c r="AG4183" i="2"/>
  <c r="AH4183" i="2"/>
  <c r="AI4183" i="2"/>
  <c r="AJ4183" i="2"/>
  <c r="AF4184" i="2"/>
  <c r="AK4184" i="2"/>
  <c r="AG4184" i="2"/>
  <c r="AH4184" i="2"/>
  <c r="AI4184" i="2"/>
  <c r="AJ4184" i="2"/>
  <c r="AF4185" i="2"/>
  <c r="AK4185" i="2" s="1"/>
  <c r="AL4185" i="2" s="1"/>
  <c r="AG4185" i="2"/>
  <c r="AH4185" i="2"/>
  <c r="AI4185" i="2"/>
  <c r="AJ4185" i="2"/>
  <c r="AF4186" i="2"/>
  <c r="AK4186" i="2"/>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L4200" i="2" s="1"/>
  <c r="AG4200" i="2"/>
  <c r="AH4200" i="2"/>
  <c r="AI4200" i="2"/>
  <c r="AJ4200" i="2"/>
  <c r="AF4201" i="2"/>
  <c r="AK4201" i="2"/>
  <c r="AG4201" i="2"/>
  <c r="AH4201" i="2"/>
  <c r="AI4201" i="2"/>
  <c r="AJ4201" i="2"/>
  <c r="AF4202" i="2"/>
  <c r="AK4202" i="2" s="1"/>
  <c r="AL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s="1"/>
  <c r="AL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L4250" i="2" s="1"/>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L4259" i="2" s="1"/>
  <c r="AH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L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L4374" i="2" s="1"/>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L4405" i="2" s="1"/>
  <c r="AI4405" i="2"/>
  <c r="AJ4405" i="2"/>
  <c r="AF4406" i="2"/>
  <c r="AG4406" i="2"/>
  <c r="AH4406" i="2"/>
  <c r="AL4406" i="2" s="1"/>
  <c r="AI4406" i="2"/>
  <c r="AJ4406" i="2"/>
  <c r="AK4406" i="2"/>
  <c r="AF4407" i="2"/>
  <c r="AK4407" i="2"/>
  <c r="AG4407" i="2"/>
  <c r="AL4407" i="2" s="1"/>
  <c r="AH4407" i="2"/>
  <c r="AI4407" i="2"/>
  <c r="AJ4407" i="2"/>
  <c r="AF4408" i="2"/>
  <c r="AK4408" i="2" s="1"/>
  <c r="AG4408" i="2"/>
  <c r="AL4408" i="2" s="1"/>
  <c r="AH4408" i="2"/>
  <c r="AI4408" i="2"/>
  <c r="AJ4408" i="2"/>
  <c r="AF4409" i="2"/>
  <c r="AK4409" i="2"/>
  <c r="AG4409" i="2"/>
  <c r="AL4409" i="2" s="1"/>
  <c r="AH4409" i="2"/>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c r="AG4421" i="2"/>
  <c r="AH4421" i="2"/>
  <c r="AI4421" i="2"/>
  <c r="AJ4421" i="2"/>
  <c r="AL4421" i="2" s="1"/>
  <c r="AF4422" i="2"/>
  <c r="AK4422" i="2"/>
  <c r="AG4422" i="2"/>
  <c r="AL4422" i="2"/>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L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L4450" i="2" s="1"/>
  <c r="AI4450" i="2"/>
  <c r="AJ4450" i="2"/>
  <c r="AF4451" i="2"/>
  <c r="AK4451" i="2"/>
  <c r="AG4451" i="2"/>
  <c r="AH4451" i="2"/>
  <c r="AI4451" i="2"/>
  <c r="AL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H4457" i="2"/>
  <c r="AL4457" i="2" s="1"/>
  <c r="AI4457" i="2"/>
  <c r="AJ4457" i="2"/>
  <c r="AF4458" i="2"/>
  <c r="AK4458" i="2"/>
  <c r="AG4458" i="2"/>
  <c r="AH4458" i="2"/>
  <c r="AI4458" i="2"/>
  <c r="AL4458" i="2" s="1"/>
  <c r="AJ4458" i="2"/>
  <c r="AF4459" i="2"/>
  <c r="AK4459" i="2"/>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L4465" i="2"/>
  <c r="AF4466" i="2"/>
  <c r="AK4466" i="2"/>
  <c r="AG4466" i="2"/>
  <c r="AH4466" i="2"/>
  <c r="AI4466" i="2"/>
  <c r="AJ4466" i="2"/>
  <c r="AF4467" i="2"/>
  <c r="AK4467" i="2"/>
  <c r="AG4467" i="2"/>
  <c r="AH4467" i="2"/>
  <c r="AL4467" i="2" s="1"/>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s="1"/>
  <c r="AG4479" i="2"/>
  <c r="AH4479" i="2"/>
  <c r="AI4479" i="2"/>
  <c r="AJ4479" i="2"/>
  <c r="AF4480" i="2"/>
  <c r="AK4480" i="2"/>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L4508" i="2" s="1"/>
  <c r="AI4508" i="2"/>
  <c r="AJ4508" i="2"/>
  <c r="AF4509" i="2"/>
  <c r="AK4509" i="2"/>
  <c r="AG4509" i="2"/>
  <c r="AH4509" i="2"/>
  <c r="AI4509" i="2"/>
  <c r="AJ4509" i="2"/>
  <c r="AF4510" i="2"/>
  <c r="AK4510" i="2" s="1"/>
  <c r="AG4510" i="2"/>
  <c r="AH4510" i="2"/>
  <c r="AI4510" i="2"/>
  <c r="AJ4510" i="2"/>
  <c r="AF4511" i="2"/>
  <c r="AK4511" i="2"/>
  <c r="AG4511" i="2"/>
  <c r="AH4511" i="2"/>
  <c r="AI4511" i="2"/>
  <c r="AL4511" i="2"/>
  <c r="AJ4511" i="2"/>
  <c r="AF4512" i="2"/>
  <c r="AK4512" i="2"/>
  <c r="AG4512" i="2"/>
  <c r="AH4512" i="2"/>
  <c r="AI4512" i="2"/>
  <c r="AJ4512" i="2"/>
  <c r="AF4513" i="2"/>
  <c r="AK4513" i="2" s="1"/>
  <c r="AG4513" i="2"/>
  <c r="AL4513" i="2" s="1"/>
  <c r="AH4513" i="2"/>
  <c r="AI4513" i="2"/>
  <c r="AJ4513" i="2"/>
  <c r="AF4514" i="2"/>
  <c r="AK4514" i="2"/>
  <c r="AG4514" i="2"/>
  <c r="AH4514" i="2"/>
  <c r="AI4514" i="2"/>
  <c r="AL4514" i="2" s="1"/>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F4523" i="2"/>
  <c r="AK4523" i="2" s="1"/>
  <c r="AG4523" i="2"/>
  <c r="AH4523" i="2"/>
  <c r="AI4523" i="2"/>
  <c r="AJ4523" i="2"/>
  <c r="AF4524" i="2"/>
  <c r="AK4524" i="2"/>
  <c r="AG4524" i="2"/>
  <c r="AH4524" i="2"/>
  <c r="AI4524" i="2"/>
  <c r="AL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H4532" i="2"/>
  <c r="AI4532" i="2"/>
  <c r="AL4532" i="2" s="1"/>
  <c r="AJ4532" i="2"/>
  <c r="AF4533" i="2"/>
  <c r="AK4533" i="2"/>
  <c r="AG4533" i="2"/>
  <c r="AH4533" i="2"/>
  <c r="AI4533" i="2"/>
  <c r="AJ4533" i="2"/>
  <c r="AF4534" i="2"/>
  <c r="AK4534" i="2" s="1"/>
  <c r="AG4534" i="2"/>
  <c r="AH4534" i="2"/>
  <c r="AI4534" i="2"/>
  <c r="AJ4534" i="2"/>
  <c r="AF4535" i="2"/>
  <c r="AK4535" i="2"/>
  <c r="AG4535" i="2"/>
  <c r="AH4535" i="2"/>
  <c r="AL4535" i="2" s="1"/>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c r="AG4539" i="2"/>
  <c r="AL4539" i="2" s="1"/>
  <c r="AH4539" i="2"/>
  <c r="AI4539" i="2"/>
  <c r="AJ4539" i="2"/>
  <c r="AF4540" i="2"/>
  <c r="AK4540" i="2"/>
  <c r="AG4540" i="2"/>
  <c r="AL4540" i="2"/>
  <c r="AH4540" i="2"/>
  <c r="AI4540" i="2"/>
  <c r="AJ4540" i="2"/>
  <c r="AF4541" i="2"/>
  <c r="AK4541" i="2" s="1"/>
  <c r="AL4541" i="2" s="1"/>
  <c r="AG4541" i="2"/>
  <c r="AH4541" i="2"/>
  <c r="AI4541" i="2"/>
  <c r="AJ4541" i="2"/>
  <c r="AF4542" i="2"/>
  <c r="AK4542" i="2"/>
  <c r="AG4542" i="2"/>
  <c r="AH4542" i="2"/>
  <c r="AI4542" i="2"/>
  <c r="AJ4542" i="2"/>
  <c r="AL4542" i="2" s="1"/>
  <c r="AF4543" i="2"/>
  <c r="AK4543" i="2"/>
  <c r="AG4543" i="2"/>
  <c r="AH4543" i="2"/>
  <c r="AI4543" i="2"/>
  <c r="AJ4543" i="2"/>
  <c r="AF4544" i="2"/>
  <c r="AK4544" i="2"/>
  <c r="AG4544" i="2"/>
  <c r="AL4544" i="2" s="1"/>
  <c r="AH4544" i="2"/>
  <c r="AI4544" i="2"/>
  <c r="AJ4544" i="2"/>
  <c r="AF4545" i="2"/>
  <c r="AK4545" i="2"/>
  <c r="AG4545" i="2"/>
  <c r="AH4545" i="2"/>
  <c r="AI4545" i="2"/>
  <c r="AJ4545" i="2"/>
  <c r="AF4546" i="2"/>
  <c r="AK4546" i="2" s="1"/>
  <c r="AG4546" i="2"/>
  <c r="AL4546" i="2" s="1"/>
  <c r="AH4546" i="2"/>
  <c r="AI4546" i="2"/>
  <c r="AJ4546" i="2"/>
  <c r="AF4547" i="2"/>
  <c r="AK4547" i="2"/>
  <c r="AG4547" i="2"/>
  <c r="AH4547" i="2"/>
  <c r="AI4547" i="2"/>
  <c r="AL4547" i="2" s="1"/>
  <c r="AJ4547" i="2"/>
  <c r="AF4548" i="2"/>
  <c r="AK4548" i="2"/>
  <c r="AG4548" i="2"/>
  <c r="AH4548" i="2"/>
  <c r="AI4548" i="2"/>
  <c r="AJ4548" i="2"/>
  <c r="AF4549" i="2"/>
  <c r="AK4549" i="2" s="1"/>
  <c r="AL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L4568" i="2" s="1"/>
  <c r="AH4568" i="2"/>
  <c r="AI4568" i="2"/>
  <c r="AJ4568" i="2"/>
  <c r="AF4569" i="2"/>
  <c r="AK4569" i="2" s="1"/>
  <c r="AG4569" i="2"/>
  <c r="AH4569" i="2"/>
  <c r="AL4569" i="2" s="1"/>
  <c r="AI4569" i="2"/>
  <c r="AJ4569" i="2"/>
  <c r="AF4570" i="2"/>
  <c r="AK4570" i="2"/>
  <c r="AG4570" i="2"/>
  <c r="AH4570" i="2"/>
  <c r="AL4570" i="2" s="1"/>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c r="AG4602" i="2"/>
  <c r="AL4602" i="2" s="1"/>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H4606" i="2"/>
  <c r="AL4606" i="2" s="1"/>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s="1"/>
  <c r="AG4705" i="2"/>
  <c r="AH4705" i="2"/>
  <c r="AL4705" i="2" s="1"/>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I4709" i="2"/>
  <c r="AL4709" i="2" s="1"/>
  <c r="AJ4709" i="2"/>
  <c r="AF4710" i="2"/>
  <c r="AK4710" i="2" s="1"/>
  <c r="AG4710" i="2"/>
  <c r="AL4710" i="2" s="1"/>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L4714" i="2" s="1"/>
  <c r="AI4714" i="2"/>
  <c r="AJ4714" i="2"/>
  <c r="AF4715" i="2"/>
  <c r="AK4715" i="2" s="1"/>
  <c r="AG4715" i="2"/>
  <c r="AL4715" i="2" s="1"/>
  <c r="AH4715" i="2"/>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L4727" i="2" s="1"/>
  <c r="AI4727" i="2"/>
  <c r="AJ4727" i="2"/>
  <c r="AF4728" i="2"/>
  <c r="AK4728" i="2" s="1"/>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L4731" i="2" s="1"/>
  <c r="AF4732" i="2"/>
  <c r="AK4732" i="2"/>
  <c r="AG4732" i="2"/>
  <c r="AL4732" i="2" s="1"/>
  <c r="AH4732" i="2"/>
  <c r="AI4732" i="2"/>
  <c r="AJ4732" i="2"/>
  <c r="AF4733" i="2"/>
  <c r="AK4733" i="2" s="1"/>
  <c r="AG4733" i="2"/>
  <c r="AH4733" i="2"/>
  <c r="AI4733" i="2"/>
  <c r="AJ4733" i="2"/>
  <c r="AF4734" i="2"/>
  <c r="AK4734" i="2" s="1"/>
  <c r="AL4734" i="2" s="1"/>
  <c r="AG4734" i="2"/>
  <c r="AH4734" i="2"/>
  <c r="AI4734" i="2"/>
  <c r="AJ4734" i="2"/>
  <c r="AF4735" i="2"/>
  <c r="AK4735" i="2" s="1"/>
  <c r="AG4735" i="2"/>
  <c r="AL4735" i="2" s="1"/>
  <c r="AH4735" i="2"/>
  <c r="AI4735" i="2"/>
  <c r="AJ4735" i="2"/>
  <c r="AF4736" i="2"/>
  <c r="AK4736" i="2"/>
  <c r="AG4736" i="2"/>
  <c r="AH4736" i="2"/>
  <c r="AI4736" i="2"/>
  <c r="AJ4736" i="2"/>
  <c r="AF4737" i="2"/>
  <c r="AK4737" i="2"/>
  <c r="AG4737" i="2"/>
  <c r="AL4737" i="2"/>
  <c r="AH4737" i="2"/>
  <c r="AI4737" i="2"/>
  <c r="AJ4737" i="2"/>
  <c r="AF4738" i="2"/>
  <c r="AK4738" i="2" s="1"/>
  <c r="AG4738" i="2"/>
  <c r="AH4738" i="2"/>
  <c r="AI4738" i="2"/>
  <c r="AJ4738" i="2"/>
  <c r="AF4739" i="2"/>
  <c r="AK4739" i="2" s="1"/>
  <c r="AG4739" i="2"/>
  <c r="AL4739" i="2" s="1"/>
  <c r="AH4739" i="2"/>
  <c r="AI4739" i="2"/>
  <c r="AJ4739" i="2"/>
  <c r="AF4740" i="2"/>
  <c r="AK4740" i="2"/>
  <c r="AG4740" i="2"/>
  <c r="AL4740" i="2"/>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L4744" i="2" s="1"/>
  <c r="AH4744" i="2"/>
  <c r="AI4744" i="2"/>
  <c r="AJ4744" i="2"/>
  <c r="AF4745" i="2"/>
  <c r="AK4745" i="2" s="1"/>
  <c r="AG4745" i="2"/>
  <c r="AH4745" i="2"/>
  <c r="AI4745" i="2"/>
  <c r="AJ4745" i="2"/>
  <c r="AF4746" i="2"/>
  <c r="AK4746" i="2"/>
  <c r="AG4746" i="2"/>
  <c r="AL4746" i="2" s="1"/>
  <c r="AH4746" i="2"/>
  <c r="AI4746" i="2"/>
  <c r="AJ4746" i="2"/>
  <c r="AF4747" i="2"/>
  <c r="AK4747" i="2" s="1"/>
  <c r="AG4747" i="2"/>
  <c r="AH4747" i="2"/>
  <c r="AI4747" i="2"/>
  <c r="AJ4747" i="2"/>
  <c r="AL4747" i="2" s="1"/>
  <c r="AF4748" i="2"/>
  <c r="AK4748" i="2"/>
  <c r="AG4748" i="2"/>
  <c r="AH4748" i="2"/>
  <c r="AI4748" i="2"/>
  <c r="AJ4748" i="2"/>
  <c r="AF4749" i="2"/>
  <c r="AK4749" i="2"/>
  <c r="AG4749" i="2"/>
  <c r="AH4749" i="2"/>
  <c r="AI4749" i="2"/>
  <c r="AL4749" i="2" s="1"/>
  <c r="AJ4749" i="2"/>
  <c r="AF4750" i="2"/>
  <c r="AK4750" i="2" s="1"/>
  <c r="AG4750" i="2"/>
  <c r="AH4750" i="2"/>
  <c r="AI4750" i="2"/>
  <c r="AJ4750" i="2"/>
  <c r="AF4751" i="2"/>
  <c r="AK4751" i="2" s="1"/>
  <c r="AG4751" i="2"/>
  <c r="AH4751" i="2"/>
  <c r="AI4751" i="2"/>
  <c r="AJ4751" i="2"/>
  <c r="AF4752" i="2"/>
  <c r="AK4752" i="2" s="1"/>
  <c r="AL4752" i="2" s="1"/>
  <c r="AG4752" i="2"/>
  <c r="AH4752" i="2"/>
  <c r="AI4752" i="2"/>
  <c r="AJ4752" i="2"/>
  <c r="AF4753" i="2"/>
  <c r="AK4753" i="2" s="1"/>
  <c r="AG4753" i="2"/>
  <c r="AL4753" i="2" s="1"/>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L4826" i="2" s="1"/>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L4833" i="2" s="1"/>
  <c r="AI4833" i="2"/>
  <c r="AJ4833" i="2"/>
  <c r="AF4834" i="2"/>
  <c r="AK4834" i="2"/>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L4924" i="2" s="1"/>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s="1"/>
  <c r="AI4940" i="2"/>
  <c r="AJ4940" i="2"/>
  <c r="AF4941" i="2"/>
  <c r="AK4941" i="2" s="1"/>
  <c r="AG4941" i="2"/>
  <c r="AH4941" i="2"/>
  <c r="AI4941" i="2"/>
  <c r="AJ4941" i="2"/>
  <c r="AF4942" i="2"/>
  <c r="AK4942" i="2"/>
  <c r="AG4942" i="2"/>
  <c r="AL4942" i="2"/>
  <c r="AH4942" i="2"/>
  <c r="AI4942" i="2"/>
  <c r="AJ4942" i="2"/>
  <c r="AF4943" i="2"/>
  <c r="AK4943" i="2" s="1"/>
  <c r="AL4943" i="2" s="1"/>
  <c r="AG4943" i="2"/>
  <c r="AH4943" i="2"/>
  <c r="AI4943" i="2"/>
  <c r="AJ4943" i="2"/>
  <c r="AF4944" i="2"/>
  <c r="AK4944" i="2" s="1"/>
  <c r="AG4944" i="2"/>
  <c r="AH4944" i="2"/>
  <c r="AI4944" i="2"/>
  <c r="AJ4944" i="2"/>
  <c r="AF4945" i="2"/>
  <c r="AK4945" i="2" s="1"/>
  <c r="AG4945" i="2"/>
  <c r="AL4945" i="2" s="1"/>
  <c r="AH4945" i="2"/>
  <c r="AI4945" i="2"/>
  <c r="AJ4945" i="2"/>
  <c r="AF4946" i="2"/>
  <c r="AK4946" i="2"/>
  <c r="AG4946" i="2"/>
  <c r="AH4946" i="2"/>
  <c r="AL4946" i="2" s="1"/>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L4965" i="2" s="1"/>
  <c r="AI4965" i="2"/>
  <c r="AJ4965" i="2"/>
  <c r="AF4966" i="2"/>
  <c r="AK4966" i="2"/>
  <c r="AG4966" i="2"/>
  <c r="AH4966" i="2"/>
  <c r="AI4966" i="2"/>
  <c r="AJ4966" i="2"/>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3" i="2"/>
  <c r="AM12" i="2"/>
  <c r="AL4796" i="2"/>
  <c r="AL4551" i="2"/>
  <c r="AL4575" i="2"/>
  <c r="AL4512" i="2"/>
  <c r="AL4351" i="2"/>
  <c r="AL4563" i="2"/>
  <c r="AL4509" i="2"/>
  <c r="AL4665" i="2"/>
  <c r="AL4553" i="2"/>
  <c r="AL4329" i="2"/>
  <c r="AL4268" i="2"/>
  <c r="AL4149" i="2"/>
  <c r="AL4092" i="2"/>
  <c r="AL4062" i="2"/>
  <c r="AL4387" i="2"/>
  <c r="AL4337" i="2"/>
  <c r="AL4333" i="2"/>
  <c r="AL4293" i="2"/>
  <c r="AL4368" i="2"/>
  <c r="AL4341" i="2"/>
  <c r="AL4331" i="2"/>
  <c r="AL4308" i="2"/>
  <c r="AL4291" i="2"/>
  <c r="AL4263" i="2"/>
  <c r="AL4239" i="2"/>
  <c r="AL4235" i="2"/>
  <c r="AL4197" i="2"/>
  <c r="AL4184" i="2"/>
  <c r="AL4175" i="2"/>
  <c r="AL4133" i="2"/>
  <c r="AL4120" i="2"/>
  <c r="AL4107" i="2"/>
  <c r="AL4064" i="2"/>
  <c r="AL4059" i="2"/>
  <c r="AL4032" i="2"/>
  <c r="AL3996" i="2"/>
  <c r="AL3980" i="2"/>
  <c r="AL4353" i="2"/>
  <c r="AL4339" i="2"/>
  <c r="AL4312" i="2"/>
  <c r="AL4201" i="2"/>
  <c r="AL4137" i="2"/>
  <c r="AL4080" i="2"/>
  <c r="AL4060" i="2"/>
  <c r="AL4049" i="2"/>
  <c r="AL4028" i="2"/>
  <c r="AL4417" i="2"/>
  <c r="AL4392" i="2"/>
  <c r="AL4316" i="2"/>
  <c r="AL4305" i="2"/>
  <c r="AL4299" i="2"/>
  <c r="AL4284" i="2"/>
  <c r="AL4273" i="2"/>
  <c r="AL4232" i="2"/>
  <c r="AL4223" i="2"/>
  <c r="AL4188" i="2"/>
  <c r="AL4181" i="2"/>
  <c r="AL4159" i="2"/>
  <c r="AL4124" i="2"/>
  <c r="AL4000" i="2"/>
  <c r="AL3984" i="2"/>
  <c r="AL3968" i="2"/>
  <c r="AL4369" i="2"/>
  <c r="AL4355" i="2"/>
  <c r="AL4247" i="2"/>
  <c r="AL4243" i="2"/>
  <c r="AL4179" i="2"/>
  <c r="AL4121" i="2"/>
  <c r="AL4119" i="2"/>
  <c r="AL4115" i="2"/>
  <c r="AL4040" i="2"/>
  <c r="AL4469" i="2"/>
  <c r="AL4401" i="2"/>
  <c r="AL4363" i="2"/>
  <c r="AL4336" i="2"/>
  <c r="AL4313"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21" i="2"/>
  <c r="AL3917" i="2"/>
  <c r="AL3898" i="2"/>
  <c r="AL3861" i="2"/>
  <c r="AL3852" i="2"/>
  <c r="AL3817" i="2"/>
  <c r="AL3797" i="2"/>
  <c r="AL3746" i="2"/>
  <c r="AL3742" i="2"/>
  <c r="AL3724" i="2"/>
  <c r="AL3708" i="2"/>
  <c r="AL3663" i="2"/>
  <c r="AL3621" i="2"/>
  <c r="AL3599" i="2"/>
  <c r="AL4054" i="2"/>
  <c r="AL4038" i="2"/>
  <c r="AL4022" i="2"/>
  <c r="AL4006" i="2"/>
  <c r="AL4002" i="2"/>
  <c r="AL3998" i="2"/>
  <c r="AL3994" i="2"/>
  <c r="AL3990" i="2"/>
  <c r="AL3982" i="2"/>
  <c r="AL3978" i="2"/>
  <c r="AL3970"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829" i="2"/>
  <c r="AL4720" i="2"/>
  <c r="AL4933" i="2"/>
  <c r="AL4558" i="2"/>
  <c r="AL4818" i="2"/>
  <c r="AL4697" i="2"/>
  <c r="AL4447" i="2"/>
  <c r="AL4583" i="2"/>
  <c r="AL4272" i="2"/>
  <c r="AL4215" i="2"/>
  <c r="AL4169" i="2"/>
  <c r="AL4163" i="2"/>
  <c r="AL4157" i="2"/>
  <c r="AL4109" i="2"/>
  <c r="AL4086" i="2"/>
  <c r="AL4051" i="2"/>
  <c r="AL3935" i="2"/>
  <c r="AL3897" i="2"/>
  <c r="AL3803" i="2"/>
  <c r="AL3776" i="2"/>
  <c r="AL4605" i="2"/>
  <c r="AL4573" i="2"/>
  <c r="AL4221" i="2"/>
  <c r="AL4135" i="2"/>
  <c r="AL3862" i="2"/>
  <c r="AL4126" i="2"/>
  <c r="AL4624"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3959" i="2"/>
  <c r="AL3782" i="2"/>
  <c r="AL3319" i="2"/>
  <c r="AL297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813" i="2"/>
  <c r="AL4599" i="2"/>
  <c r="AL4459" i="2"/>
  <c r="AL4433" i="2"/>
  <c r="AL4303" i="2"/>
  <c r="AL3843" i="2"/>
  <c r="AL4654" i="2"/>
  <c r="AL4528" i="2"/>
  <c r="AL4501" i="2"/>
  <c r="AL4493" i="2"/>
  <c r="AL4466" i="2"/>
  <c r="AL4949" i="2"/>
  <c r="AL4756" i="2"/>
  <c r="AL4738" i="2"/>
  <c r="AL4724" i="2"/>
  <c r="AL4644" i="2"/>
  <c r="AL4581" i="2"/>
  <c r="AL4494" i="2"/>
  <c r="AL4478" i="2"/>
  <c r="AL4454" i="2"/>
  <c r="AL4431" i="2"/>
  <c r="AL4345" i="2"/>
  <c r="AL4338" i="2"/>
  <c r="AL3986" i="2"/>
  <c r="AL4804" i="2"/>
  <c r="AL4981" i="2"/>
  <c r="AL4938" i="2"/>
  <c r="AL4877" i="2"/>
  <c r="AL4798" i="2"/>
  <c r="AL4736" i="2"/>
  <c r="AL4633" i="2"/>
  <c r="AL4571" i="2"/>
  <c r="AL4461" i="2"/>
  <c r="AL4439" i="2"/>
  <c r="AL4365" i="2"/>
  <c r="AL4330" i="2"/>
  <c r="AL4262" i="2"/>
  <c r="AL4166" i="2"/>
  <c r="AL3824" i="2"/>
  <c r="AL3659" i="2"/>
  <c r="AL4386" i="2"/>
  <c r="AL4342" i="2"/>
  <c r="AL4241" i="2"/>
  <c r="AL4238" i="2"/>
  <c r="AL4094" i="2"/>
  <c r="AL3855" i="2"/>
  <c r="AL3808" i="2"/>
  <c r="AL4428" i="2"/>
  <c r="AL3887" i="2"/>
  <c r="AL3736" i="2"/>
  <c r="AL4343" i="2"/>
  <c r="AL4261" i="2"/>
  <c r="AL4044" i="2"/>
  <c r="AL3991" i="2"/>
  <c r="AL3904" i="2"/>
  <c r="AL3869" i="2"/>
  <c r="AL4327" i="2"/>
  <c r="AL4106" i="2"/>
  <c r="AL4098" i="2"/>
  <c r="AL3944" i="2"/>
  <c r="AL4410" i="2"/>
  <c r="AL4348" i="2"/>
  <c r="AL4344" i="2"/>
  <c r="AL4317" i="2"/>
  <c r="AL4206" i="2"/>
  <c r="AL4189" i="2"/>
  <c r="AL4150" i="2"/>
  <c r="AL3967" i="2"/>
  <c r="AL3934" i="2"/>
  <c r="AL3918" i="2"/>
  <c r="AL3785" i="2"/>
  <c r="AL4191" i="2"/>
  <c r="AL4187" i="2"/>
  <c r="AL4160" i="2"/>
  <c r="AL4128" i="2"/>
  <c r="AL3919" i="2"/>
  <c r="AL3874" i="2"/>
  <c r="AL3831" i="2"/>
  <c r="AL3811" i="2"/>
  <c r="AL3779" i="2"/>
  <c r="AL3772" i="2"/>
  <c r="AL3765" i="2"/>
  <c r="AL3747" i="2"/>
  <c r="AL3711" i="2"/>
  <c r="AL3488" i="2"/>
  <c r="AL3322" i="2"/>
  <c r="AL4180" i="2"/>
  <c r="AL4176" i="2"/>
  <c r="AL4148" i="2"/>
  <c r="AL4047" i="2"/>
  <c r="AL3995" i="2"/>
  <c r="AL3891" i="2"/>
  <c r="AL3879" i="2"/>
  <c r="AL3866" i="2"/>
  <c r="AL3806" i="2"/>
  <c r="AL3795" i="2"/>
  <c r="AL3783" i="2"/>
  <c r="AL3750" i="2"/>
  <c r="AL3701" i="2"/>
  <c r="AL4285" i="2"/>
  <c r="AL4264" i="2"/>
  <c r="AL4173" i="2"/>
  <c r="AL4123" i="2"/>
  <c r="AL4056" i="2"/>
  <c r="AL4045" i="2"/>
  <c r="AL4039" i="2"/>
  <c r="AL3987" i="2"/>
  <c r="AL3983"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8" i="2"/>
  <c r="AM8" i="2" s="1"/>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L11" i="2"/>
  <c r="AL10" i="2"/>
  <c r="AL7" i="2"/>
  <c r="AM7" i="2" s="1"/>
  <c r="AL4880" i="2"/>
  <c r="AL4844" i="2"/>
  <c r="AL4783" i="2"/>
  <c r="AL4745" i="2"/>
  <c r="AL4726" i="2"/>
  <c r="AL4690" i="2"/>
  <c r="AL4672" i="2"/>
  <c r="AL4662" i="2"/>
  <c r="AL4612" i="2"/>
  <c r="AL4585" i="2"/>
  <c r="AL4560" i="2"/>
  <c r="AL4534" i="2"/>
  <c r="AL4523" i="2"/>
  <c r="AL4510" i="2"/>
  <c r="AL4354" i="2"/>
  <c r="AL4320" i="2"/>
  <c r="AL4304" i="2"/>
  <c r="AL4294" i="2"/>
  <c r="AL4192" i="2"/>
  <c r="AL4941" i="2"/>
  <c r="AL4930" i="2"/>
  <c r="AL4922" i="2"/>
  <c r="AL4862" i="2"/>
  <c r="AL4769" i="2"/>
  <c r="AL4762" i="2"/>
  <c r="AL4718" i="2"/>
  <c r="AL4702" i="2"/>
  <c r="AL4692" i="2"/>
  <c r="AL4680" i="2"/>
  <c r="AL4598" i="2"/>
  <c r="AL4578" i="2"/>
  <c r="AL4531" i="2"/>
  <c r="AL4507" i="2"/>
  <c r="AL4476" i="2"/>
  <c r="AL4463" i="2"/>
  <c r="AL4426" i="2"/>
  <c r="AL4390" i="2"/>
  <c r="AL4376" i="2"/>
  <c r="AL4311" i="2"/>
  <c r="AL4213" i="2"/>
  <c r="AL4097" i="2"/>
  <c r="AL3936" i="2"/>
  <c r="AL3885" i="2"/>
  <c r="AL3790" i="2"/>
  <c r="AL3771" i="2"/>
  <c r="AL3743" i="2"/>
  <c r="AL3741" i="2"/>
  <c r="AL3728" i="2"/>
  <c r="AL3726" i="2"/>
  <c r="AL3616" i="2"/>
  <c r="AL3611" i="2"/>
  <c r="AL3552" i="2"/>
  <c r="AL3531" i="2"/>
  <c r="AL3464" i="2"/>
  <c r="AL3363" i="2"/>
  <c r="AL3993" i="2"/>
  <c r="AL3947" i="2"/>
  <c r="AL3899" i="2"/>
  <c r="AL3825" i="2"/>
  <c r="AL3774" i="2"/>
  <c r="AL3761" i="2"/>
  <c r="AL3757" i="2"/>
  <c r="AL3712" i="2"/>
  <c r="AL3710" i="2"/>
  <c r="AL3530" i="2"/>
  <c r="AL3526" i="2"/>
  <c r="AL3506" i="2"/>
  <c r="AL3497" i="2"/>
  <c r="AL3360" i="2"/>
  <c r="AL3310" i="2"/>
  <c r="AL3976" i="2"/>
  <c r="AL3884" i="2"/>
  <c r="AL3883" i="2"/>
  <c r="AL3764" i="2"/>
  <c r="AL3672" i="2"/>
  <c r="AL3234" i="2"/>
  <c r="AL3555" i="2"/>
  <c r="AL3285" i="2"/>
  <c r="AL3255" i="2"/>
  <c r="AL3221" i="2"/>
  <c r="AL3284" i="2"/>
  <c r="AL3272" i="2"/>
  <c r="AL2767" i="2"/>
  <c r="AL2705" i="2"/>
  <c r="AL2679" i="2"/>
  <c r="AL2624" i="2"/>
  <c r="AL2224" i="2"/>
  <c r="AL3494" i="2"/>
  <c r="AL3440" i="2"/>
  <c r="AL3254" i="2"/>
  <c r="AL3099" i="2"/>
  <c r="AL2689" i="2"/>
  <c r="AL2438" i="2"/>
  <c r="AL3467" i="2"/>
  <c r="AL3320" i="2"/>
  <c r="AL3005" i="2"/>
  <c r="AL2939" i="2"/>
  <c r="AL2875" i="2"/>
  <c r="AL2673" i="2"/>
  <c r="AL2606" i="2"/>
  <c r="AL2568" i="2"/>
  <c r="AL2544" i="2"/>
  <c r="AL2216" i="2"/>
  <c r="AL2622" i="2"/>
  <c r="AL2557" i="2"/>
  <c r="AL2479" i="2"/>
  <c r="AL2414" i="2"/>
  <c r="AL2383" i="2"/>
  <c r="AL2277" i="2"/>
  <c r="AL2006" i="2"/>
  <c r="AL2722" i="2"/>
  <c r="AL2641" i="2"/>
  <c r="AL2522" i="2"/>
  <c r="AL2406" i="2"/>
  <c r="AL2334" i="2"/>
  <c r="AL2320" i="2"/>
  <c r="AL2545" i="2"/>
  <c r="AL2432" i="2"/>
  <c r="AL2263" i="2"/>
  <c r="AL2175" i="2"/>
  <c r="AL2149" i="2"/>
  <c r="AL1455" i="2"/>
  <c r="AL1327" i="2"/>
  <c r="AL1314" i="2"/>
  <c r="AL998" i="2"/>
  <c r="AL967" i="2"/>
  <c r="AL1001" i="2"/>
  <c r="AL925" i="2"/>
  <c r="AL445" i="2"/>
  <c r="AL947" i="2"/>
  <c r="AL597" i="2"/>
  <c r="AL292" i="2"/>
  <c r="AL253" i="2"/>
  <c r="AL163" i="2"/>
  <c r="AL169"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<sst xmlns="http://schemas.openxmlformats.org/spreadsheetml/2006/main" count="217" uniqueCount="142">
  <si>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</si>
  <si>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</si>
  <si>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</si>
  <si>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</si>
  <si>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</si>
  <si>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</si>
  <si>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</si>
  <si>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</si>
  <si>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</si>
  <si>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</si>
  <si>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</si>
  <si>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</si>
  <si>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</si>
  <si>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</si>
  <si>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</si>
  <si>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</si>
  <si>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</si>
  <si>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</si>
  <si>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</si>
  <si>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</si>
  <si>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</si>
  <si>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</si>
  <si>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</si>
  <si>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</si>
  <si>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</si>
  <si>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</si>
  <si>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</si>
  <si>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</si>
  <si>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</si>
  <si>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</si>
  <si>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</si>
  <si>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</si>
  <si>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</si>
  <si>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</si>
  <si>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</si>
  <si>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</si>
  <si>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</si>
  <si>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</si>
  <si>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</si>
  <si>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</si>
  <si>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</si>
  <si>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</si>
  <si>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</si>
  <si>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</si>
  <si>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</si>
  <si>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</si>
  <si>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</si>
  <si>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</si>
  <si>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</si>
  <si>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</si>
  <si>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</si>
  <si>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</si>
  <si>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</si>
  <si>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</si>
  <si>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</si>
  <si>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</si>
  <si>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</si>
  <si>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</si>
  <si>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</si>
  <si>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</si>
  <si>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</si>
  <si>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</si>
  <si>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</si>
  <si>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</si>
  <si>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</si>
  <si>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</si>
  <si>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</si>
  <si>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</si>
  <si>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</si>
  <si>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</si>
  <si>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</si>
  <si>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</si>
  <si>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</si>
  <si>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</si>
  <si>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</si>
  <si>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</si>
  <si>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</si>
  <si>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</si>
  <si>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</si>
  <si>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</si>
  <si>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</si>
  <si>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</si>
  <si>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</si>
  <si>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</si>
  <si>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</si>
  <si>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</si>
  <si>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</si>
  <si>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</si>
  <si>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</si>
  <si>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</si>
  <si>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</si>
  <si>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</si>
  <si>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</si>
  <si>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Simpson Creek</t>
  </si>
  <si>
    <t>Railway</t>
  </si>
  <si>
    <t>CN Rail</t>
  </si>
  <si>
    <t>Closed Bottom Structure</t>
  </si>
  <si>
    <t>Round Culvert</t>
  </si>
  <si>
    <t>No</t>
  </si>
  <si>
    <t>Yes</t>
  </si>
  <si>
    <t>Deep Fill</t>
  </si>
  <si>
    <t>High</t>
  </si>
  <si>
    <t>AI JO</t>
  </si>
  <si>
    <t>Tributary to Gershwin Creek</t>
  </si>
  <si>
    <t>Cormeau Road</t>
  </si>
  <si>
    <t>MoTi</t>
  </si>
  <si>
    <t>Low</t>
  </si>
  <si>
    <t>Comeau Road</t>
  </si>
  <si>
    <t>Medium</t>
  </si>
  <si>
    <t xml:space="preserve">LS JD </t>
  </si>
  <si>
    <t xml:space="preserve">Gershwin creek </t>
  </si>
  <si>
    <t xml:space="preserve">Private property </t>
  </si>
  <si>
    <t>Private</t>
  </si>
  <si>
    <t>Private driveway</t>
  </si>
  <si>
    <t>Open Bottom Structure</t>
  </si>
  <si>
    <t>Bridge</t>
  </si>
  <si>
    <t>Whalen Road</t>
  </si>
  <si>
    <t xml:space="preserve">MoTi </t>
  </si>
  <si>
    <t xml:space="preserve">Gershwin Creek </t>
  </si>
  <si>
    <t>LS AI</t>
  </si>
  <si>
    <t xml:space="preserve">Simpson creek </t>
  </si>
  <si>
    <t xml:space="preserve">Transmission line road </t>
  </si>
  <si>
    <t>Ford</t>
  </si>
  <si>
    <t>00180607</t>
  </si>
  <si>
    <t>Al Irvine</t>
  </si>
  <si>
    <t>250-777-1518</t>
  </si>
  <si>
    <t>al@newgraphenvironment.com</t>
  </si>
  <si>
    <t>00198456</t>
  </si>
  <si>
    <t>skeena_2024_Phase1</t>
  </si>
  <si>
    <t>OTHER</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</si>
  <si>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</si>
  <si>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No visible channel was observed; the area appeared to be a wet draw during the survey, with some sedges present upstream. It is unlikely to provide fish habitat. MoTi chris_culvert_id: 1524657</t>
  </si>
  <si>
    <t xml:space="preserve">
This is a newer PVC pipe with a beaver grate on the inlet. Debris clogging about 20 cm of the inlet has caused water to back up upstream of the crossing. Downstream, the drainage is very small, with a fence located approximately 10 m away. Cutthroat trout and Dolly Varden are known to inhabit the lake upstream. MoTi chris_culvert_id: 1524661</t>
  </si>
  <si>
    <t>The landowner has constructed a bridge over the stream with two culverts, measuring 0.47 m and 0.9 m in diameter. Some flow passes through the culverts while some bypasses them, though it is unclear if fish can navigate the bypassing flow. The bridge appears to provide access to adjacent agricultural fields. High-quality habitat with numerous pools and abundant gravel is present, but strong currents in the culverts due to significant flow likely inhibit fish passage.</t>
  </si>
  <si>
    <t xml:space="preserve">
Three 0.95 m pipes run under a private driveway. The pipe lengths and gradients are estimated, with two pipes appearing fully embedded and one slightly elevated by approximately 30 cm. The stream is channelized with large boulders throughout the property. Beaver activity is evident, with debris at the inlet and three dams ranging from 0.4 to 1 m high within 150 m upstream. The landowner reported previous blockages caused by beavers, requiring the inlet to be cleared and significant amounts of accumulated material to be dredged out.</t>
  </si>
  <si>
    <t>Steel bridge, potentially for pedestrian or ATV use only, located on a private road on private land.</t>
  </si>
  <si>
    <t xml:space="preserve"> Small wooden foot bridge linking private property on Whalen Road right of way.</t>
  </si>
  <si>
    <t xml:space="preserve">
Steel structure suitable for foot traffic or ATV use, located on private land.</t>
  </si>
  <si>
    <t xml:space="preserve">Ford across transmission line road which parallels the transmission lines. Fully passable.          </t>
  </si>
  <si>
    <t>Restoring Fish Passage in our Skeena Region 2024 - Phase 1</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</si>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</sst>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128</v>
      </c>
    </row>
    <row r="5" spans="1:20">
      <c r="A5" s="4" t="s">
        <v>58</v>
      </c>
      <c r="B5" t="s">
        <v>139</v>
      </c>
    </row>
    <row r="6" spans="1:20">
      <c r="A6" s="4"/>
      <c r="B6" s="10"/>
    </row>
    <row r="7" spans="1:20">
      <c r="A7" s="4" t="s">
        <v>86</v>
      </c>
      <c r="B7" s="83" t="s">
        <v>123</v>
      </c>
    </row>
    <row r="8" spans="1:20">
      <c r="A8" s="4" t="s">
        <v>73</v>
      </c>
      <c r="B8" t="s">
        <v>124</v>
      </c>
    </row>
    <row r="9" spans="1:20">
      <c r="A9" s="4" t="s">
        <v>74</v>
      </c>
      <c r="B9" t="s">
        <v>125</v>
      </c>
    </row>
    <row r="10" spans="1:20">
      <c r="A10" s="4" t="s">
        <v>75</v>
      </c>
      <c r="B10" s="84" t="s">
        <v>126</v>
      </c>
    </row>
    <row r="11" spans="1:20">
      <c r="A11" s="4"/>
      <c r="B11" s="10"/>
    </row>
    <row r="12" spans="1:20">
      <c r="A12" s="4" t="s">
        <v>36</v>
      </c>
      <c r="B12" s="83" t="s">
        <v>127</v>
      </c>
    </row>
    <row r="13" spans="1:20">
      <c r="A13" s="4" t="s">
        <v>37</v>
      </c>
      <c r="B13" t="s">
        <v>124</v>
      </c>
    </row>
    <row r="14" spans="1:20">
      <c r="A14" s="4" t="s">
        <v>38</v>
      </c>
      <c r="B14" t="s">
        <v>125</v>
      </c>
    </row>
    <row r="15" spans="1:20">
      <c r="A15" s="4" t="s">
        <v>39</v>
      </c>
      <c r="B15" s="84" t="s">
        <v>126</v>
      </c>
    </row>
    <row r="16" spans="1:20">
      <c r="A16" s="4"/>
      <c r="B16" s="10"/>
    </row>
    <row r="17" spans="1:2">
      <c r="A17" s="4" t="s">
        <v>40</v>
      </c>
    </row>
    <row r="18" spans="1:2">
      <c r="A18" s="4" t="s">
        <v>41</v>
      </c>
      <c r="B18" t="s">
        <v>129</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7C870DF8-35E5-6245-8AD8-5B70BC4C1C4C}">
      <formula1>"FIA,LBIS,MOE,MFLNRO,MOTI,MEM,BCHYDRO,BCOGC,OTHER"</formula1>
    </dataValidation>
    <dataValidation type="textLength" allowBlank="1" showInputMessage="1" showErrorMessage="1" sqref="B4 B8 B13" xr:uid="{6FACC2B7-681B-1F44-8AE2-282E338C7443}">
      <formula1>0</formula1>
      <formula2>255</formula2>
    </dataValidation>
    <dataValidation type="custom" allowBlank="1" showInputMessage="1" showErrorMessage="1" errorTitle="Invalid Format" error="The Phone number must be 10 digits minimum. The format must match the following mask: ###-###-####" sqref="B9 B14" xr:uid="{91033E45-E2AB-7E44-88EE-32BF6AF12619}">
      <formula1>IF(LEN(B9)=12,LEN(B9)-LEN(SUBSTITUTE(B9,"-",""))=2,IF(LEN(B9)=10,LEN(B9)-LEN(SUBSTITUTE(B9,"-",""))=1,LEN(B9)=5))</formula1>
    </dataValidation>
    <dataValidation type="textLength" allowBlank="1" showInputMessage="1" showErrorMessage="1" sqref="B10 B5 B15" xr:uid="{DD84FDC3-B910-E44B-8AC8-35D9FF55944A}">
      <formula1>0</formula1>
      <formula2>100</formula2>
    </dataValidation>
    <dataValidation type="decimal" allowBlank="1" showInputMessage="1" showErrorMessage="1" errorTitle="Invalid Budget value" error="The projects budget must be a positive number, less than 9999999999.99" sqref="B17" xr:uid="{9F830FAF-A6C0-FB4F-AA43-3F7ED5A87628}">
      <formula1>0</formula1>
      <formula2>9999999999.99</formula2>
    </dataValidation>
    <dataValidation type="textLength" allowBlank="1" showInputMessage="1" showErrorMessage="1" sqref="B7 B12" xr:uid="{A5A046A2-CA15-984B-B7FA-97A5F1EB95AB}">
      <formula1>0</formula1>
      <formula2>8</formula2>
    </dataValidation>
  </dataValidations>
  <hyperlinks>
    <hyperlink ref="B10" r:id="rId1" xr:uid="{63260407-7C8A-6942-95A0-001A28536E1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N1" zoomScale="130" zoomScaleNormal="130" workbookViewId="0">
      <pane ySplit="4" topLeftCell="A5" activePane="bottomLeft" state="frozen"/>
      <selection pane="bottomLeft" activeCell="S12" sqref="S1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C5" s="10">
        <v>1805555</v>
      </c>
      <c r="D5" s="10" t="s">
        <v>92</v>
      </c>
      <c r="E5" s="11">
        <v>9</v>
      </c>
      <c r="F5" s="39">
        <v>614941</v>
      </c>
      <c r="G5" s="39">
        <v>6075232</v>
      </c>
      <c r="H5" s="11" t="s">
        <v>93</v>
      </c>
      <c r="I5" s="11" t="s">
        <v>94</v>
      </c>
      <c r="J5" s="33"/>
      <c r="K5" s="11" t="s">
        <v>95</v>
      </c>
      <c r="L5" s="10" t="s">
        <v>96</v>
      </c>
      <c r="M5" s="10" t="s">
        <v>97</v>
      </c>
      <c r="N5" s="85">
        <v>3</v>
      </c>
      <c r="O5" s="85">
        <v>25</v>
      </c>
      <c r="P5" s="10" t="s">
        <v>98</v>
      </c>
      <c r="Q5" s="86"/>
      <c r="R5" s="10" t="s">
        <v>99</v>
      </c>
      <c r="S5" s="10" t="s">
        <v>98</v>
      </c>
      <c r="T5" s="86"/>
      <c r="U5" s="10">
        <v>1</v>
      </c>
      <c r="V5" s="10">
        <v>0.05</v>
      </c>
      <c r="W5" s="10">
        <v>0.9</v>
      </c>
      <c r="X5" s="10" t="s">
        <v>99</v>
      </c>
      <c r="Y5" s="10">
        <v>2</v>
      </c>
      <c r="Z5" s="10">
        <v>5</v>
      </c>
      <c r="AA5" s="10">
        <v>1</v>
      </c>
      <c r="AB5" s="10" t="s">
        <v>99</v>
      </c>
      <c r="AC5" s="10" t="s">
        <v>99</v>
      </c>
      <c r="AD5" s="10" t="s">
        <v>100</v>
      </c>
      <c r="AE5" s="10" t="s">
        <v>101</v>
      </c>
      <c r="AF5" s="20">
        <f>IF(ISBLANK(Z5), 0, IF(ISBLANK(N5) &lt; 0, 0,Z5 / N5))</f>
        <v>1.6666666666666667</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8" t="s">
        <v>140</v>
      </c>
      <c r="AO5" s="88">
        <v>15</v>
      </c>
      <c r="AP5" s="78" t="s">
        <v>130</v>
      </c>
    </row>
    <row r="6" spans="1:42" ht="16">
      <c r="A6" s="59">
        <v>45560</v>
      </c>
      <c r="C6" s="10">
        <v>8300088</v>
      </c>
      <c r="D6" s="10" t="s">
        <v>102</v>
      </c>
      <c r="E6" s="11">
        <v>9</v>
      </c>
      <c r="F6" s="39">
        <v>581685</v>
      </c>
      <c r="G6" s="39">
        <v>6114465</v>
      </c>
      <c r="H6" s="10" t="s">
        <v>103</v>
      </c>
      <c r="I6" s="11" t="s">
        <v>104</v>
      </c>
      <c r="J6" s="33"/>
      <c r="K6" s="10" t="s">
        <v>105</v>
      </c>
      <c r="L6" s="10" t="s">
        <v>96</v>
      </c>
      <c r="M6" s="10" t="s">
        <v>97</v>
      </c>
      <c r="N6" s="85">
        <v>0.6</v>
      </c>
      <c r="O6" s="85">
        <v>16</v>
      </c>
      <c r="P6" s="10" t="s">
        <v>98</v>
      </c>
      <c r="Q6" s="86"/>
      <c r="S6" s="10" t="s">
        <v>98</v>
      </c>
      <c r="T6" s="86"/>
      <c r="U6" s="10">
        <v>0.4</v>
      </c>
      <c r="V6" s="10">
        <v>0</v>
      </c>
      <c r="W6" s="10">
        <v>0</v>
      </c>
      <c r="X6" s="10" t="s">
        <v>98</v>
      </c>
      <c r="Y6" s="10">
        <v>1</v>
      </c>
      <c r="Z6" s="10">
        <v>0.5</v>
      </c>
      <c r="AA6" s="10">
        <v>1.5</v>
      </c>
      <c r="AB6" s="10" t="s">
        <v>98</v>
      </c>
      <c r="AC6" s="10" t="s">
        <v>98</v>
      </c>
      <c r="AD6" s="10" t="s">
        <v>100</v>
      </c>
      <c r="AE6" s="10" t="s">
        <v>106</v>
      </c>
      <c r="AF6" s="20">
        <f t="shared" ref="AF6:AF11" si="0">IF(ISBLANK(Z6), 0, IF(ISBLANK(N6) &lt; 0, 0,Z6 / N6))</f>
        <v>0.83333333333333337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18</v>
      </c>
      <c r="AM6" s="14" t="str">
        <f t="shared" ref="AM6:AM67" si="7">IF(ISBLANK(L6), "", IF(L6 = "Open Bottom Structure", "Passable", IF(L6 = "Other", "Unknown", IF(AL6 &lt; 15, "Passable", IF(AND(AL6 &gt;= 15,AL6 &lt;= 19), "Potential", IF(AL6 &gt; 19, "Barrier", ""))))))</f>
        <v>Potential</v>
      </c>
      <c r="AN6" s="88" t="s">
        <v>141</v>
      </c>
      <c r="AO6" s="88">
        <v>3</v>
      </c>
      <c r="AP6" s="78" t="s">
        <v>131</v>
      </c>
    </row>
    <row r="7" spans="1:42" ht="16">
      <c r="A7" s="59">
        <v>45560</v>
      </c>
      <c r="C7" s="10">
        <v>8300015</v>
      </c>
      <c r="D7" s="10" t="s">
        <v>102</v>
      </c>
      <c r="E7" s="11">
        <v>9</v>
      </c>
      <c r="F7" s="39">
        <v>581852</v>
      </c>
      <c r="G7" s="39">
        <v>6115965</v>
      </c>
      <c r="H7" s="10" t="s">
        <v>103</v>
      </c>
      <c r="I7" s="11" t="s">
        <v>107</v>
      </c>
      <c r="J7" s="33"/>
      <c r="K7" s="10" t="s">
        <v>105</v>
      </c>
      <c r="L7" s="10" t="s">
        <v>96</v>
      </c>
      <c r="M7" s="10" t="s">
        <v>97</v>
      </c>
      <c r="N7" s="21">
        <v>0.6</v>
      </c>
      <c r="O7" s="21">
        <v>14.5</v>
      </c>
      <c r="P7" s="10" t="s">
        <v>98</v>
      </c>
      <c r="Q7" s="86"/>
      <c r="S7" s="10" t="s">
        <v>98</v>
      </c>
      <c r="T7" s="86"/>
      <c r="U7" s="10">
        <v>0.5</v>
      </c>
      <c r="V7" s="10">
        <v>0</v>
      </c>
      <c r="W7" s="10">
        <v>0</v>
      </c>
      <c r="X7" s="10" t="s">
        <v>99</v>
      </c>
      <c r="Y7" s="10">
        <v>3</v>
      </c>
      <c r="Z7" s="10">
        <v>0.95</v>
      </c>
      <c r="AA7" s="10">
        <v>1</v>
      </c>
      <c r="AB7" s="10" t="s">
        <v>98</v>
      </c>
      <c r="AC7" s="10" t="s">
        <v>98</v>
      </c>
      <c r="AD7" s="10" t="s">
        <v>100</v>
      </c>
      <c r="AE7" s="10" t="s">
        <v>108</v>
      </c>
      <c r="AF7" s="20">
        <f t="shared" si="0"/>
        <v>1.5833333333333333</v>
      </c>
      <c r="AG7" s="13">
        <f t="shared" si="1"/>
        <v>0</v>
      </c>
      <c r="AH7" s="7">
        <f t="shared" si="2"/>
        <v>10</v>
      </c>
      <c r="AI7" s="7">
        <f t="shared" si="3"/>
        <v>0</v>
      </c>
      <c r="AJ7" s="7">
        <f t="shared" si="4"/>
        <v>10</v>
      </c>
      <c r="AK7" s="7">
        <f t="shared" si="5"/>
        <v>6</v>
      </c>
      <c r="AL7" s="12">
        <f t="shared" si="6"/>
        <v>26</v>
      </c>
      <c r="AM7" s="14" t="str">
        <f t="shared" si="7"/>
        <v>Barrier</v>
      </c>
      <c r="AN7" s="88" t="s">
        <v>141</v>
      </c>
      <c r="AO7" s="88">
        <v>3</v>
      </c>
      <c r="AP7" s="10" t="s">
        <v>132</v>
      </c>
    </row>
    <row r="8" spans="1:42" ht="16">
      <c r="A8" s="59">
        <v>45560</v>
      </c>
      <c r="B8" s="82"/>
      <c r="C8" s="10">
        <v>2024092550</v>
      </c>
      <c r="D8" s="10" t="s">
        <v>109</v>
      </c>
      <c r="E8" s="11">
        <v>9</v>
      </c>
      <c r="F8" s="39">
        <v>581313</v>
      </c>
      <c r="G8" s="39">
        <v>6115473</v>
      </c>
      <c r="H8" s="10" t="s">
        <v>110</v>
      </c>
      <c r="I8" s="11" t="s">
        <v>111</v>
      </c>
      <c r="J8" s="79"/>
      <c r="K8" s="81" t="s">
        <v>112</v>
      </c>
      <c r="L8" s="10" t="s">
        <v>96</v>
      </c>
      <c r="M8" s="10" t="s">
        <v>97</v>
      </c>
      <c r="N8" s="21">
        <v>1.37</v>
      </c>
      <c r="O8" s="21">
        <v>6</v>
      </c>
      <c r="P8" s="10" t="s">
        <v>98</v>
      </c>
      <c r="Q8" s="86"/>
      <c r="S8" s="10" t="s">
        <v>98</v>
      </c>
      <c r="T8" s="86"/>
      <c r="U8" s="10">
        <v>0.5</v>
      </c>
      <c r="V8" s="10">
        <v>0</v>
      </c>
      <c r="W8" s="10">
        <v>0.3</v>
      </c>
      <c r="X8" s="10" t="s">
        <v>99</v>
      </c>
      <c r="Y8" s="10">
        <v>2</v>
      </c>
      <c r="Z8" s="10">
        <v>6</v>
      </c>
      <c r="AA8" s="10">
        <v>5</v>
      </c>
      <c r="AB8" s="10" t="s">
        <v>98</v>
      </c>
      <c r="AC8" s="10" t="s">
        <v>98</v>
      </c>
      <c r="AD8" s="10" t="s">
        <v>100</v>
      </c>
      <c r="AE8" s="10" t="s">
        <v>101</v>
      </c>
      <c r="AF8" s="20">
        <f t="shared" si="0"/>
        <v>4.3795620437956204</v>
      </c>
      <c r="AG8" s="13">
        <f t="shared" si="1"/>
        <v>0</v>
      </c>
      <c r="AH8" s="7">
        <f t="shared" si="2"/>
        <v>10</v>
      </c>
      <c r="AI8" s="7">
        <f t="shared" si="3"/>
        <v>0</v>
      </c>
      <c r="AJ8" s="7">
        <f t="shared" si="4"/>
        <v>5</v>
      </c>
      <c r="AK8" s="7">
        <f t="shared" si="5"/>
        <v>6</v>
      </c>
      <c r="AL8" s="12">
        <f t="shared" si="6"/>
        <v>21</v>
      </c>
      <c r="AM8" s="14" t="str">
        <f t="shared" si="7"/>
        <v>Barrier</v>
      </c>
      <c r="AN8" s="88" t="s">
        <v>140</v>
      </c>
      <c r="AO8" s="88">
        <v>15</v>
      </c>
      <c r="AP8" s="10" t="s">
        <v>133</v>
      </c>
    </row>
    <row r="9" spans="1:42" ht="16">
      <c r="A9" s="59">
        <v>45555</v>
      </c>
      <c r="C9" s="10">
        <v>2024092003</v>
      </c>
      <c r="D9" s="10" t="s">
        <v>92</v>
      </c>
      <c r="E9" s="11">
        <v>9</v>
      </c>
      <c r="F9" s="39">
        <v>615326</v>
      </c>
      <c r="G9" s="39">
        <v>6075142</v>
      </c>
      <c r="H9" s="78" t="s">
        <v>93</v>
      </c>
      <c r="I9" s="11" t="s">
        <v>113</v>
      </c>
      <c r="J9" s="33"/>
      <c r="K9" s="81" t="s">
        <v>112</v>
      </c>
      <c r="L9" s="10" t="s">
        <v>96</v>
      </c>
      <c r="M9" s="10" t="s">
        <v>97</v>
      </c>
      <c r="N9" s="21">
        <v>2.85</v>
      </c>
      <c r="O9" s="21">
        <v>7</v>
      </c>
      <c r="P9" s="10" t="s">
        <v>99</v>
      </c>
      <c r="Q9" s="10">
        <v>0.2</v>
      </c>
      <c r="R9" s="10" t="s">
        <v>99</v>
      </c>
      <c r="S9" s="10" t="s">
        <v>98</v>
      </c>
      <c r="T9" s="86"/>
      <c r="U9" s="10">
        <v>1</v>
      </c>
      <c r="V9" s="10">
        <v>0</v>
      </c>
      <c r="W9" s="10">
        <v>0.3</v>
      </c>
      <c r="X9" s="10" t="s">
        <v>99</v>
      </c>
      <c r="Y9" s="10">
        <v>3</v>
      </c>
      <c r="Z9" s="10">
        <v>7</v>
      </c>
      <c r="AA9" s="10">
        <v>1.5</v>
      </c>
      <c r="AB9" s="10" t="s">
        <v>99</v>
      </c>
      <c r="AC9" s="10" t="s">
        <v>99</v>
      </c>
      <c r="AD9" s="10" t="s">
        <v>100</v>
      </c>
      <c r="AE9" s="10" t="s">
        <v>101</v>
      </c>
      <c r="AF9" s="20">
        <f t="shared" si="0"/>
        <v>2.4561403508771931</v>
      </c>
      <c r="AG9" s="13">
        <f t="shared" si="1"/>
        <v>0</v>
      </c>
      <c r="AH9" s="7">
        <f t="shared" si="2"/>
        <v>5</v>
      </c>
      <c r="AI9" s="7">
        <f t="shared" si="3"/>
        <v>0</v>
      </c>
      <c r="AJ9" s="7">
        <f t="shared" si="4"/>
        <v>10</v>
      </c>
      <c r="AK9" s="7">
        <f t="shared" si="5"/>
        <v>6</v>
      </c>
      <c r="AL9" s="12">
        <f t="shared" si="6"/>
        <v>21</v>
      </c>
      <c r="AM9" s="14" t="str">
        <f t="shared" si="7"/>
        <v>Barrier</v>
      </c>
      <c r="AN9" s="10" t="s">
        <v>140</v>
      </c>
      <c r="AO9" s="88">
        <v>15</v>
      </c>
      <c r="AP9" s="10" t="s">
        <v>134</v>
      </c>
    </row>
    <row r="10" spans="1:42" ht="16">
      <c r="A10" s="59">
        <v>45555</v>
      </c>
      <c r="C10" s="10">
        <v>2024092001</v>
      </c>
      <c r="D10" s="10" t="s">
        <v>92</v>
      </c>
      <c r="E10" s="11">
        <v>9</v>
      </c>
      <c r="F10" s="39">
        <v>614346</v>
      </c>
      <c r="G10" s="39">
        <v>6075065</v>
      </c>
      <c r="H10" s="78" t="s">
        <v>93</v>
      </c>
      <c r="I10" s="11" t="s">
        <v>113</v>
      </c>
      <c r="J10" s="33"/>
      <c r="K10" s="10" t="s">
        <v>112</v>
      </c>
      <c r="L10" s="10" t="s">
        <v>114</v>
      </c>
      <c r="M10" s="10" t="s">
        <v>115</v>
      </c>
      <c r="N10" s="21">
        <v>12</v>
      </c>
      <c r="O10" s="21">
        <v>4</v>
      </c>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135</v>
      </c>
    </row>
    <row r="11" spans="1:42" ht="16">
      <c r="A11" s="59">
        <v>45555</v>
      </c>
      <c r="C11" s="78">
        <v>2024092002</v>
      </c>
      <c r="D11" s="10" t="s">
        <v>92</v>
      </c>
      <c r="E11" s="10">
        <v>9</v>
      </c>
      <c r="F11" s="80">
        <v>614775</v>
      </c>
      <c r="G11" s="80">
        <v>6075153</v>
      </c>
      <c r="H11" s="78" t="s">
        <v>93</v>
      </c>
      <c r="I11" s="11" t="s">
        <v>116</v>
      </c>
      <c r="J11" s="33"/>
      <c r="K11" s="10" t="s">
        <v>117</v>
      </c>
      <c r="L11" s="10" t="s">
        <v>114</v>
      </c>
      <c r="M11" s="10" t="s">
        <v>115</v>
      </c>
      <c r="N11" s="21">
        <v>7.4</v>
      </c>
      <c r="O11" s="21">
        <v>1.2</v>
      </c>
      <c r="P11" s="86"/>
      <c r="Q11" s="87"/>
      <c r="R11" s="86"/>
      <c r="S11" s="86"/>
      <c r="T11" s="87"/>
      <c r="U11" s="87"/>
      <c r="V11" s="86"/>
      <c r="W11" s="87"/>
      <c r="X11" s="86"/>
      <c r="Y11" s="87"/>
      <c r="Z11" s="87"/>
      <c r="AA11" s="86"/>
      <c r="AB11" s="10" t="s">
        <v>98</v>
      </c>
      <c r="AC11" s="10" t="s">
        <v>98</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136</v>
      </c>
    </row>
    <row r="12" spans="1:42" ht="16">
      <c r="A12" s="59">
        <v>45560</v>
      </c>
      <c r="C12" s="10">
        <v>2024092501</v>
      </c>
      <c r="D12" s="10" t="s">
        <v>102</v>
      </c>
      <c r="E12" s="11">
        <v>9</v>
      </c>
      <c r="F12" s="39">
        <v>581028</v>
      </c>
      <c r="G12" s="39">
        <v>6115707</v>
      </c>
      <c r="H12" s="11" t="s">
        <v>118</v>
      </c>
      <c r="I12" s="11" t="s">
        <v>112</v>
      </c>
      <c r="J12" s="33"/>
      <c r="K12" s="11" t="s">
        <v>112</v>
      </c>
      <c r="L12" s="10" t="s">
        <v>114</v>
      </c>
      <c r="M12" s="10" t="s">
        <v>115</v>
      </c>
      <c r="N12" s="21">
        <v>13</v>
      </c>
      <c r="O12" s="21">
        <v>2</v>
      </c>
      <c r="P12" s="86"/>
      <c r="Q12" s="86"/>
      <c r="R12" s="86"/>
      <c r="S12" s="86"/>
      <c r="T12" s="87"/>
      <c r="U12" s="87"/>
      <c r="V12" s="86"/>
      <c r="W12" s="87"/>
      <c r="X12" s="86"/>
      <c r="Y12" s="87"/>
      <c r="Z12" s="87"/>
      <c r="AA12" s="86"/>
      <c r="AB12" s="10" t="s">
        <v>98</v>
      </c>
      <c r="AC12" s="10" t="s">
        <v>98</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7"/>
      <c r="AP12" s="10" t="s">
        <v>137</v>
      </c>
    </row>
    <row r="13" spans="1:42" ht="16">
      <c r="A13" s="59">
        <v>45562</v>
      </c>
      <c r="C13" s="10">
        <v>2024092751</v>
      </c>
      <c r="D13" s="10" t="s">
        <v>119</v>
      </c>
      <c r="E13" s="11">
        <v>9</v>
      </c>
      <c r="F13" s="39">
        <v>613951</v>
      </c>
      <c r="G13" s="39">
        <v>6074629</v>
      </c>
      <c r="H13" s="11" t="s">
        <v>120</v>
      </c>
      <c r="I13" s="11" t="s">
        <v>121</v>
      </c>
      <c r="L13" s="10" t="s">
        <v>114</v>
      </c>
      <c r="M13" s="10" t="s">
        <v>122</v>
      </c>
      <c r="N13" s="21">
        <v>2.5499999999999998</v>
      </c>
      <c r="O13" s="21">
        <v>9</v>
      </c>
      <c r="P13" s="86"/>
      <c r="Q13" s="86"/>
      <c r="R13" s="86"/>
      <c r="S13" s="86"/>
      <c r="T13" s="86"/>
      <c r="U13" s="87"/>
      <c r="V13" s="86"/>
      <c r="W13" s="87"/>
      <c r="X13" s="86"/>
      <c r="Y13" s="87"/>
      <c r="Z13" s="87"/>
      <c r="AA13" s="86"/>
      <c r="AB13" s="10" t="s">
        <v>98</v>
      </c>
      <c r="AC13" s="10" t="s">
        <v>98</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6"/>
      <c r="AO13" s="87"/>
      <c r="AP13" s="10" t="s">
        <v>138</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tyaAz/574KN4LBk4adpGPRdlTiCtoWBGAQ85fKD0ykSLAODUfk+cPjdevnqKlSUx5onA9yR/EwMO3EL2A2dlg==" saltValue="KFnhyeBROmszpvMFn4tpG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C3E1C693-34CE-4247-8FF9-6031032B5BE4}">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2C33126F-1D68-5547-A80B-0E7C67747806}">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5" xr:uid="{081FD954-9072-3B46-A592-58F670B6BCA3}">
      <formula1>0.01</formula1>
      <formula2>2.99</formula2>
    </dataValidation>
    <dataValidation type="decimal" allowBlank="1" showInputMessage="1" showErrorMessage="1" errorTitle="Invalid value entered" error="The Average Depth Embededdment you entered is invalid. The Average Depth Embededdment must be &lt;= 0.59 and &gt;= 0.01" sqref="Q6:Q7" xr:uid="{E1135828-8CA1-8047-8936-0A5BB0FF4C07}">
      <formula1>0.01</formula1>
      <formula2>0.59</formula2>
    </dataValidation>
    <dataValidation type="decimal" allowBlank="1" showInputMessage="1" showErrorMessage="1" errorTitle="Invalid value entered" error="The Average Depth Embededdment you entered is invalid. The Average Depth Embededdment must be &lt;= 1.36 and &gt;= 0.01" sqref="Q8" xr:uid="{2BA3F39E-914E-2A4E-AC68-A882B305DDDA}">
      <formula1>0.01</formula1>
      <formula2>1.36</formula2>
    </dataValidation>
    <dataValidation type="decimal" allowBlank="1" showInputMessage="1" showErrorMessage="1" errorTitle="Invalid value entered" error="The Average Depth Embededdment you entered is invalid. The Average Depth Embededdment must be &lt;= 2.84 and &gt;= 0.01" sqref="Q9" xr:uid="{5393CD09-5532-EF44-89CA-0FE81310F9A9}">
      <formula1>0.01</formula1>
      <formula2>2.84</formula2>
    </dataValidation>
    <dataValidation type="list" allowBlank="1" showInputMessage="1" showErrorMessage="1" errorTitle="Invalid value entered" error="The crossing subtype is not compatible with a crossing type of Open Bottom Structure" sqref="M10:M13" xr:uid="{89937691-4D48-DB44-9C41-12CB596DBFAF}">
      <formula1>"Bridge, Pipe Arch, Wood Box Culvert"</formula1>
    </dataValidation>
    <dataValidation type="decimal" allowBlank="1" showInputMessage="1" showErrorMessage="1" errorTitle="Invalid Diamter or Span" error="The Diameter or Span entered is invalid. Diameter or Span must be &gt; 0 and &lt; 100" sqref="N10:N13" xr:uid="{5C89B9BF-4291-8A4D-93AD-5B1D3EE2742D}">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EE3D63E6-314C-C848-A5F2-4D4D7769217F}">
      <formula1>0.01</formula1>
      <formula2>11.99</formula2>
    </dataValidation>
    <dataValidation type="decimal" allowBlank="1" showInputMessage="1" showErrorMessage="1" errorTitle="Invalid value entered" error="The Average Depth Embededdment you entered is invalid. The Average Depth Embededdment must be &lt;= 7.39 and &gt;= 0.01" sqref="Q11" xr:uid="{6F057D6D-560F-8545-8150-08D19AC8AC10}">
      <formula1>0.01</formula1>
      <formula2>7.39</formula2>
    </dataValidation>
    <dataValidation type="decimal" allowBlank="1" showInputMessage="1" showErrorMessage="1" errorTitle="Invalid value entered" error="The Average Depth Embededdment you entered is invalid. The Average Depth Embededdment must be &lt;= 12.99 and &gt;= 0.01" sqref="Q12" xr:uid="{8BE8D9A7-1E96-F945-A208-A29A81EB5034}">
      <formula1>0.01</formula1>
      <formula2>12.99</formula2>
    </dataValidation>
    <dataValidation type="decimal" allowBlank="1" showInputMessage="1" showErrorMessage="1" errorTitle="Invalid value entered" error="The Average Depth Embededdment you entered is invalid. The Average Depth Embededdment must be &lt;= 2.54 and &gt;= 0.01" sqref="Q13" xr:uid="{E0704C78-917F-E841-9F9B-8D68E38F5480}">
      <formula1>0.01</formula1>
      <formula2>2.54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2025-01-16T17:51:42Z</dcterms:modified>
</cp:coreProperties>
</file>